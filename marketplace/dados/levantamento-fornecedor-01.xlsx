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Catálogo" sheetId="2" state="visible" r:id="rId4"/>
    <sheet name="Campos da plataforma" sheetId="3" state="visible" r:id="rId5"/>
  </sheets>
  <definedNames>
    <definedName function="false" hidden="true" localSheetId="1" name="_xlnm._FilterDatabase" vbProcedure="false">Catálogo!$A$1:$O$177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<sst xmlns="http://schemas.openxmlformats.org/spreadsheetml/2006/main" count="1422" uniqueCount="573">
  <si>
    <t xml:space="preserve">Saúde Pet | Levantamento de produtos do fornecedor</t>
  </si>
  <si>
    <t xml:space="preserve">Fornecedor 01: Casa de Rações Filhos de 4 Patas (Ribeirão Preto/SP) | Contato: (16) 99428-8613</t>
  </si>
  <si>
    <t xml:space="preserve">Margem padrão aplicada</t>
  </si>
  <si>
    <t xml:space="preserve">Altere aqui para mudar a margem de toda a aba Catálogo de uma vez.</t>
  </si>
  <si>
    <t xml:space="preserve">Como usar esta planilha</t>
  </si>
  <si>
    <t xml:space="preserve">Células em AZUL</t>
  </si>
  <si>
    <t xml:space="preserve">são as que você preenche (custo, código de barras, estoque).</t>
  </si>
  <si>
    <t xml:space="preserve">Célula AMARELA (B4)</t>
  </si>
  <si>
    <t xml:space="preserve">é a margem padrão. Hoje está em 40%.</t>
  </si>
  <si>
    <t xml:space="preserve">Coluna J (Preço de venda)</t>
  </si>
  <si>
    <t xml:space="preserve">é calculada sozinha: custo x (1 + margem). Não digite nada nela.</t>
  </si>
  <si>
    <t xml:space="preserve">Coluna I (Margem)</t>
  </si>
  <si>
    <t xml:space="preserve">vem da margem padrão. Só edite se um item específico precisar de margem diferente.</t>
  </si>
  <si>
    <t xml:space="preserve">Coluna K (Preço na loja)</t>
  </si>
  <si>
    <t xml:space="preserve">é o preço de etiqueta que apareceu nas fotos. Serve de referência, não é o seu custo.</t>
  </si>
  <si>
    <t xml:space="preserve">Linha 3 do Catálogo</t>
  </si>
  <si>
    <t xml:space="preserve">é um EXEMPLO preenchido. Apague antes de subir para a plataforma.</t>
  </si>
  <si>
    <t xml:space="preserve">Roteiro do levantamento na loja</t>
  </si>
  <si>
    <t xml:space="preserve">1. Peça a tabela de preços em arquivo (planilha, PDF ou foto legível). Confirme se o preço é de custo/atacado para você ou preço de balcão.</t>
  </si>
  <si>
    <t xml:space="preserve">2. Confirme a condição comercial: prazo de pagamento, pedido mínimo, se o preço muda por volume e com que frequência a tabela é reajustada.</t>
  </si>
  <si>
    <t xml:space="preserve">3. Passe corredor por corredor e fotografe: frente da embalagem, tabela nutricional e o código de barras. O EAN é o que evita cadastro duplicado depois.</t>
  </si>
  <si>
    <t xml:space="preserve">4. Para cada item registre: marca, linha, sabor, público (cão/gato/filhote/adulto/castrado), peso e a unidade de venda (saco, pacote, unidade, fardo com X).</t>
  </si>
  <si>
    <t xml:space="preserve">5. Anote a disponibilidade real. Produto que ele só traz sob encomenda precisa de aviso de prazo na plataforma.</t>
  </si>
  <si>
    <t xml:space="preserve">6. Comece com os campeões de giro (rações 15 kg, tapete higiênico, areia, petiscos) e deixe acessórios e roupas para uma segunda leva.</t>
  </si>
  <si>
    <t xml:space="preserve">7. Marque quem é frágil ou pesado. Saco de 15 kg muda a conta do frete e da sua logística de retirada.</t>
  </si>
  <si>
    <t xml:space="preserve">8. Ao fechar, valide 5 itens do seu preço final contra o preço do mercado local. Margem de 40% em ração de marca costuma ficar acima do praticado.</t>
  </si>
  <si>
    <t xml:space="preserve">Origem dos dados</t>
  </si>
  <si>
    <t xml:space="preserve">Os produtos da aba Catálogo foram identificados a partir de 50 fotos tiradas na loja em 26/08/2026 (lote 1: Fotos 1 a 9; lote 2: IMG_4289 a IMG_4298; lote 3: IMG_4279 a IMG_4288; lote 4: IMG_4259 a IMG_4278; lote 5: 1 foto avulsa). Onde a embalagem apareceu parcialmente, o item está marcado como CONFIRMAR na coluna Observações.</t>
  </si>
  <si>
    <t xml:space="preserve">Os valores da coluna K são etiquetas visíveis nas fotos. Nenhum custo de fornecedor foi informado até aqui, por isso a coluna H está vazia.</t>
  </si>
  <si>
    <t xml:space="preserve">Pesos, sabores e códigos de barras precisam ser conferidos na embalagem física antes do cadastro definitivo.</t>
  </si>
  <si>
    <t xml:space="preserve">ID</t>
  </si>
  <si>
    <t xml:space="preserve">Categoria</t>
  </si>
  <si>
    <t xml:space="preserve">Marca</t>
  </si>
  <si>
    <t xml:space="preserve">Produto</t>
  </si>
  <si>
    <t xml:space="preserve">Variação / Sabor</t>
  </si>
  <si>
    <t xml:space="preserve">Peso / Tamanho</t>
  </si>
  <si>
    <t xml:space="preserve">Unidade de venda</t>
  </si>
  <si>
    <t xml:space="preserve">Custo fornecedor (R$)</t>
  </si>
  <si>
    <t xml:space="preserve">Margem</t>
  </si>
  <si>
    <t xml:space="preserve">Preço de venda (R$)</t>
  </si>
  <si>
    <t xml:space="preserve">Preço na loja (R$)</t>
  </si>
  <si>
    <t xml:space="preserve">Código de barras (EAN)</t>
  </si>
  <si>
    <t xml:space="preserve">Estoque</t>
  </si>
  <si>
    <t xml:space="preserve">Foto</t>
  </si>
  <si>
    <t xml:space="preserve">Observações</t>
  </si>
  <si>
    <t xml:space="preserve">EX</t>
  </si>
  <si>
    <t xml:space="preserve">Ração cão</t>
  </si>
  <si>
    <t xml:space="preserve">Golden (PremieRpet)</t>
  </si>
  <si>
    <t xml:space="preserve">Golden Formula Cães Adultos</t>
  </si>
  <si>
    <t xml:space="preserve">Frango e arroz - porte pequeno</t>
  </si>
  <si>
    <t xml:space="preserve">15 kg</t>
  </si>
  <si>
    <t xml:space="preserve">Saco</t>
  </si>
  <si>
    <t xml:space="preserve">7896588300000</t>
  </si>
  <si>
    <t xml:space="preserve">Foto 9</t>
  </si>
  <si>
    <t xml:space="preserve">LINHA DE EXEMPLO - apague antes do cadastro</t>
  </si>
  <si>
    <t xml:space="preserve">Frango e arroz</t>
  </si>
  <si>
    <t xml:space="preserve">10,1 kg</t>
  </si>
  <si>
    <t xml:space="preserve">CONFIRMAR linha e público na embalagem</t>
  </si>
  <si>
    <t xml:space="preserve">Purina</t>
  </si>
  <si>
    <t xml:space="preserve">Dog Chow Adultos Minis e Pequenos</t>
  </si>
  <si>
    <t xml:space="preserve">Carne e frango</t>
  </si>
  <si>
    <t xml:space="preserve">Vitta</t>
  </si>
  <si>
    <t xml:space="preserve">Vitta Natural Cães Adultos</t>
  </si>
  <si>
    <t xml:space="preserve">Vitta Natural Cães Filhotes</t>
  </si>
  <si>
    <t xml:space="preserve">CONFIRMAR</t>
  </si>
  <si>
    <t xml:space="preserve">Foto 5</t>
  </si>
  <si>
    <t xml:space="preserve">CONFIRMAR peso</t>
  </si>
  <si>
    <t xml:space="preserve">Flock</t>
  </si>
  <si>
    <t xml:space="preserve">Flock Adultos</t>
  </si>
  <si>
    <t xml:space="preserve">Carne</t>
  </si>
  <si>
    <t xml:space="preserve">Item de entrada, bom para atrair preço</t>
  </si>
  <si>
    <t xml:space="preserve">Nutriva</t>
  </si>
  <si>
    <t xml:space="preserve">Nutriva Select Adultos Pequeno Porte</t>
  </si>
  <si>
    <t xml:space="preserve">Foto 8</t>
  </si>
  <si>
    <t xml:space="preserve">Premium especial, 24% proteína</t>
  </si>
  <si>
    <t xml:space="preserve">Spert</t>
  </si>
  <si>
    <t xml:space="preserve">Spert Cães Adultos</t>
  </si>
  <si>
    <t xml:space="preserve">Todos os portes</t>
  </si>
  <si>
    <t xml:space="preserve">CONFIRMAR sabor</t>
  </si>
  <si>
    <t xml:space="preserve">Special Dog</t>
  </si>
  <si>
    <t xml:space="preserve">Special Dog Gold Adultos</t>
  </si>
  <si>
    <t xml:space="preserve">CONFIRMAR sabor e linha</t>
  </si>
  <si>
    <t xml:space="preserve">Special Dog Ultralife Premium Especial</t>
  </si>
  <si>
    <t xml:space="preserve">Frango - adultos raças pequenas</t>
  </si>
  <si>
    <t xml:space="preserve">3 kg</t>
  </si>
  <si>
    <t xml:space="preserve">Zero corantes e aromatizantes</t>
  </si>
  <si>
    <t xml:space="preserve">Finotrato</t>
  </si>
  <si>
    <t xml:space="preserve">Finotrato Life Cães Adultos</t>
  </si>
  <si>
    <t xml:space="preserve">Cordeiro e arroz - raças pequenas e médias</t>
  </si>
  <si>
    <t xml:space="preserve">Begacão</t>
  </si>
  <si>
    <t xml:space="preserve">Begacão Premium Natural Adultos</t>
  </si>
  <si>
    <t xml:space="preserve">7 kg</t>
  </si>
  <si>
    <t xml:space="preserve">Dog Choni</t>
  </si>
  <si>
    <t xml:space="preserve">Dog Choni Cães Adultos</t>
  </si>
  <si>
    <t xml:space="preserve">Carne e arroz</t>
  </si>
  <si>
    <t xml:space="preserve">Fotos 5 e 9</t>
  </si>
  <si>
    <t xml:space="preserve">CONFIRMAR grafia da marca e peso</t>
  </si>
  <si>
    <t xml:space="preserve">Grupo Tosi</t>
  </si>
  <si>
    <t xml:space="preserve">Naturale / Agromix Filhotes</t>
  </si>
  <si>
    <t xml:space="preserve">Todas as raças</t>
  </si>
  <si>
    <t xml:space="preserve">CONFIRMAR nome exato da linha</t>
  </si>
  <si>
    <t xml:space="preserve">Linha com sulfato de condroitina</t>
  </si>
  <si>
    <t xml:space="preserve">Suporte articular</t>
  </si>
  <si>
    <t xml:space="preserve">CONFIRMAR marca e nome completo</t>
  </si>
  <si>
    <t xml:space="preserve">Ração gato</t>
  </si>
  <si>
    <t xml:space="preserve">Special Cat</t>
  </si>
  <si>
    <t xml:space="preserve">Special Cat Premium Gatos Filhotes</t>
  </si>
  <si>
    <t xml:space="preserve">Mix de carnes</t>
  </si>
  <si>
    <t xml:space="preserve">Special Cat Premium Gatos Adultos</t>
  </si>
  <si>
    <t xml:space="preserve">Peixe</t>
  </si>
  <si>
    <t xml:space="preserve">Aparece em duas variações de peixe, conferir</t>
  </si>
  <si>
    <t xml:space="preserve">Gran Plus</t>
  </si>
  <si>
    <t xml:space="preserve">Gran Plus Gourmet Gatos Adultos Castrados</t>
  </si>
  <si>
    <t xml:space="preserve">Salmão e frango</t>
  </si>
  <si>
    <t xml:space="preserve">Gran Plus Menu Gatos</t>
  </si>
  <si>
    <t xml:space="preserve">Petisco cão</t>
  </si>
  <si>
    <t xml:space="preserve">Golden Cookie</t>
  </si>
  <si>
    <t xml:space="preserve">Original - adultos porte pequeno</t>
  </si>
  <si>
    <t xml:space="preserve">Pacote</t>
  </si>
  <si>
    <t xml:space="preserve">Foto 6</t>
  </si>
  <si>
    <t xml:space="preserve">CONFIRMAR gramatura</t>
  </si>
  <si>
    <t xml:space="preserve">Special Dog Ultralife Biscoitos Assados</t>
  </si>
  <si>
    <t xml:space="preserve">Frutas vermelhas</t>
  </si>
  <si>
    <t xml:space="preserve">Lançamento, CONFIRMAR gramatura</t>
  </si>
  <si>
    <t xml:space="preserve">Doogs</t>
  </si>
  <si>
    <t xml:space="preserve">Doogs Biscoito</t>
  </si>
  <si>
    <t xml:space="preserve">Frango</t>
  </si>
  <si>
    <t xml:space="preserve">Doogs Original</t>
  </si>
  <si>
    <t xml:space="preserve">Alimento específico para cães</t>
  </si>
  <si>
    <t xml:space="preserve">CONFIRMAR variação e preço</t>
  </si>
  <si>
    <t xml:space="preserve">Higiene</t>
  </si>
  <si>
    <t xml:space="preserve">Brincalhão</t>
  </si>
  <si>
    <t xml:space="preserve">Tapete Higiênico Premium</t>
  </si>
  <si>
    <t xml:space="preserve">Cães</t>
  </si>
  <si>
    <t xml:space="preserve">Pacote com 6 un.</t>
  </si>
  <si>
    <t xml:space="preserve">Fotos 6 e 7</t>
  </si>
  <si>
    <t xml:space="preserve">Alto giro, priorizar no cadastro</t>
  </si>
  <si>
    <t xml:space="preserve">Brincat</t>
  </si>
  <si>
    <t xml:space="preserve">Areia Sanitária Biodegradável</t>
  </si>
  <si>
    <t xml:space="preserve">Capim-limão - grãos finos</t>
  </si>
  <si>
    <t xml:space="preserve">2 kg</t>
  </si>
  <si>
    <t xml:space="preserve">Natural - grãos finos</t>
  </si>
  <si>
    <t xml:space="preserve">Pipicat (Kelco)</t>
  </si>
  <si>
    <t xml:space="preserve">Aditivo Antiodor para Areia</t>
  </si>
  <si>
    <t xml:space="preserve">Campestre</t>
  </si>
  <si>
    <t xml:space="preserve">500 g</t>
  </si>
  <si>
    <t xml:space="preserve">Foto 7</t>
  </si>
  <si>
    <t xml:space="preserve">Floral</t>
  </si>
  <si>
    <t xml:space="preserve">Outros animais</t>
  </si>
  <si>
    <t xml:space="preserve">CC-Albium</t>
  </si>
  <si>
    <t xml:space="preserve">Alimento Completo para Pássaros</t>
  </si>
  <si>
    <t xml:space="preserve">Papinha para filhotes</t>
  </si>
  <si>
    <t xml:space="preserve">250 g</t>
  </si>
  <si>
    <t xml:space="preserve">Pote</t>
  </si>
  <si>
    <t xml:space="preserve">Indubras</t>
  </si>
  <si>
    <t xml:space="preserve">Suplemento vitamínico e mineral</t>
  </si>
  <si>
    <t xml:space="preserve">Animais de pequeno a grande porte</t>
  </si>
  <si>
    <t xml:space="preserve">Caixa</t>
  </si>
  <si>
    <t xml:space="preserve">CONFIRMAR nome do produto (Ceva...)</t>
  </si>
  <si>
    <t xml:space="preserve">Acessório</t>
  </si>
  <si>
    <t xml:space="preserve">Diversos</t>
  </si>
  <si>
    <t xml:space="preserve">Coleira de nylon estampada</t>
  </si>
  <si>
    <t xml:space="preserve">Diversas estampas e cores</t>
  </si>
  <si>
    <t xml:space="preserve">P / M / G</t>
  </si>
  <si>
    <t xml:space="preserve">Unidade</t>
  </si>
  <si>
    <t xml:space="preserve">Fotos 1 e 2</t>
  </si>
  <si>
    <t xml:space="preserve">Cadastrar por tamanho, foto por estampa</t>
  </si>
  <si>
    <t xml:space="preserve">Guia de nylon estampada</t>
  </si>
  <si>
    <t xml:space="preserve">Único</t>
  </si>
  <si>
    <t xml:space="preserve">Peitoral com guia (conjunto)</t>
  </si>
  <si>
    <t xml:space="preserve">Nylon estampado</t>
  </si>
  <si>
    <t xml:space="preserve">Conjunto</t>
  </si>
  <si>
    <t xml:space="preserve">Melhor vendido como kit na plataforma</t>
  </si>
  <si>
    <t xml:space="preserve">Guia de corda com mosquetão</t>
  </si>
  <si>
    <t xml:space="preserve">Vermelha, azul, preta, rosa</t>
  </si>
  <si>
    <t xml:space="preserve">Foto 1</t>
  </si>
  <si>
    <t xml:space="preserve">Etiqueta de 35,00 visível, CONFIRMAR a qual modelo pertence</t>
  </si>
  <si>
    <t xml:space="preserve">Guia de corda com amortecedor (mola)</t>
  </si>
  <si>
    <t xml:space="preserve">Rosa e vermelha</t>
  </si>
  <si>
    <t xml:space="preserve">Coleira de couro</t>
  </si>
  <si>
    <t xml:space="preserve">Vermelha</t>
  </si>
  <si>
    <t xml:space="preserve">M / G</t>
  </si>
  <si>
    <t xml:space="preserve">Coleira/enforcador de corrente</t>
  </si>
  <si>
    <t xml:space="preserve">Metal</t>
  </si>
  <si>
    <t xml:space="preserve">Cinto de segurança para pet</t>
  </si>
  <si>
    <t xml:space="preserve">Azul</t>
  </si>
  <si>
    <t xml:space="preserve">Foto 4</t>
  </si>
  <si>
    <t xml:space="preserve">Brinquedo</t>
  </si>
  <si>
    <t xml:space="preserve">Bola de corda com nó</t>
  </si>
  <si>
    <t xml:space="preserve">Laranja / verde</t>
  </si>
  <si>
    <t xml:space="preserve">Vestuário</t>
  </si>
  <si>
    <t xml:space="preserve">Roupa pet soft/fleece</t>
  </si>
  <si>
    <t xml:space="preserve">Estampa nuvens rosa</t>
  </si>
  <si>
    <t xml:space="preserve">CONFIRMAR grade de tamanhos disponíveis</t>
  </si>
  <si>
    <t xml:space="preserve">Vestido pet estampado</t>
  </si>
  <si>
    <t xml:space="preserve">Floral laranja/azul</t>
  </si>
  <si>
    <t xml:space="preserve">CONFIRMAR preço e tamanhos</t>
  </si>
  <si>
    <t xml:space="preserve">Casa e conforto</t>
  </si>
  <si>
    <t xml:space="preserve">Casinha de madeira aglomerada</t>
  </si>
  <si>
    <t xml:space="preserve">Modelo iglu</t>
  </si>
  <si>
    <t xml:space="preserve">CONFIRMAR (nº)</t>
  </si>
  <si>
    <t xml:space="preserve">Foto 3</t>
  </si>
  <si>
    <t xml:space="preserve">Volumoso, avaliar retirada e frete</t>
  </si>
  <si>
    <t xml:space="preserve">Casinha plástica</t>
  </si>
  <si>
    <t xml:space="preserve">Telhado com chaminé</t>
  </si>
  <si>
    <t xml:space="preserve">Nº 4</t>
  </si>
  <si>
    <t xml:space="preserve">Caixa de transporte</t>
  </si>
  <si>
    <t xml:space="preserve">Cama / colchonete pet</t>
  </si>
  <si>
    <t xml:space="preserve">Diversas estampas</t>
  </si>
  <si>
    <t xml:space="preserve">Prateleira ao fundo, levantar grade</t>
  </si>
  <si>
    <t xml:space="preserve">Comedouro</t>
  </si>
  <si>
    <t xml:space="preserve">Comedouro e bebedouro plástico</t>
  </si>
  <si>
    <t xml:space="preserve">Diversas cores</t>
  </si>
  <si>
    <t xml:space="preserve">Fotos 5 e 8</t>
  </si>
  <si>
    <t xml:space="preserve">Comedouro automático / dispenser</t>
  </si>
  <si>
    <t xml:space="preserve">Higiene e banho</t>
  </si>
  <si>
    <t xml:space="preserve">Shampoo 2 em 1 (limpa e condiciona)</t>
  </si>
  <si>
    <t xml:space="preserve">Cães e gatos filhotes</t>
  </si>
  <si>
    <t xml:space="preserve">CONFIRMAR (frasco 700 ml aprox.)</t>
  </si>
  <si>
    <t xml:space="preserve">IMG_4298</t>
  </si>
  <si>
    <t xml:space="preserve">CONFIRMAR marca e volume, etiqueta parcialmente legível</t>
  </si>
  <si>
    <t xml:space="preserve">Shampoo Vegetal com condicionador</t>
  </si>
  <si>
    <t xml:space="preserve">Melancia</t>
  </si>
  <si>
    <t xml:space="preserve">CONFIRMAR marca e volume</t>
  </si>
  <si>
    <t xml:space="preserve">Shampoo Antiparasitário</t>
  </si>
  <si>
    <t xml:space="preserve">Antipulgas e carrapatos</t>
  </si>
  <si>
    <t xml:space="preserve">Etiquetas de 23,00 e 24,00 na mesma fileira, CONFIRMAR variação</t>
  </si>
  <si>
    <t xml:space="preserve">Shampoo Clorexidina</t>
  </si>
  <si>
    <t xml:space="preserve">Antiqueda, antisséptico e antisseborreico</t>
  </si>
  <si>
    <t xml:space="preserve">CONFIRMAR (500 ml aprox.)</t>
  </si>
  <si>
    <t xml:space="preserve">Shampoo (frasco vermelho)</t>
  </si>
  <si>
    <t xml:space="preserve">Marca aparece cortada na foto, CONFIRMAR</t>
  </si>
  <si>
    <t xml:space="preserve">Toalha de secagem pet</t>
  </si>
  <si>
    <t xml:space="preserve">Aparece na prateleira lateral, CONFIRMAR marca e tamanho</t>
  </si>
  <si>
    <t xml:space="preserve">Manta / cobertor soft pet</t>
  </si>
  <si>
    <t xml:space="preserve">Azul e verde-limão</t>
  </si>
  <si>
    <t xml:space="preserve">IMG_4297</t>
  </si>
  <si>
    <t xml:space="preserve">CONFIRMAR medidas e grade de cores</t>
  </si>
  <si>
    <t xml:space="preserve">Colchonete / cama pet estampada</t>
  </si>
  <si>
    <t xml:space="preserve">Ossinhos, patinhas, ursinhos</t>
  </si>
  <si>
    <t xml:space="preserve">IMG_4296</t>
  </si>
  <si>
    <t xml:space="preserve">Etiqueta de 100,00 visível, CONFIRMAR a qual tamanho pertence</t>
  </si>
  <si>
    <t xml:space="preserve">Napi</t>
  </si>
  <si>
    <t xml:space="preserve">Guia Retrátil</t>
  </si>
  <si>
    <t xml:space="preserve">Cães de raças pequenas até 15 kg</t>
  </si>
  <si>
    <t xml:space="preserve">IMG_4295</t>
  </si>
  <si>
    <t xml:space="preserve">Mordedor de borracha</t>
  </si>
  <si>
    <t xml:space="preserve">Formatos variados</t>
  </si>
  <si>
    <t xml:space="preserve">IMG_4294</t>
  </si>
  <si>
    <t xml:space="preserve">Vendido avulso no pote do balcão</t>
  </si>
  <si>
    <t xml:space="preserve">Mordedor osso de borracha</t>
  </si>
  <si>
    <t xml:space="preserve">Roxo / vinho</t>
  </si>
  <si>
    <t xml:space="preserve">CONFIRMAR preço</t>
  </si>
  <si>
    <t xml:space="preserve">Petisco gato</t>
  </si>
  <si>
    <t xml:space="preserve">Cat Stix Snack Líquido Super Premium</t>
  </si>
  <si>
    <t xml:space="preserve">Salmão</t>
  </si>
  <si>
    <t xml:space="preserve">15 g por sachê (caixa 540 g com 36)</t>
  </si>
  <si>
    <t xml:space="preserve">Sachê ou caixa</t>
  </si>
  <si>
    <t xml:space="preserve">IMG_4294 e IMG_4293</t>
  </si>
  <si>
    <t xml:space="preserve">Há display de 6 unidades também, CONFIRMAR se 25,20 é a caixa ou o pack de 6</t>
  </si>
  <si>
    <t xml:space="preserve">Alimento úmido gato</t>
  </si>
  <si>
    <t xml:space="preserve">Friskies Sachê</t>
  </si>
  <si>
    <t xml:space="preserve">Carne ao molho</t>
  </si>
  <si>
    <t xml:space="preserve">85 g</t>
  </si>
  <si>
    <t xml:space="preserve">Sachê</t>
  </si>
  <si>
    <t xml:space="preserve">IMG_4293</t>
  </si>
  <si>
    <t xml:space="preserve">Salmão ao molho</t>
  </si>
  <si>
    <t xml:space="preserve">Atum ao molho</t>
  </si>
  <si>
    <t xml:space="preserve">Peixe branco ao molho</t>
  </si>
  <si>
    <t xml:space="preserve">Friskies Sachê Filhotes</t>
  </si>
  <si>
    <t xml:space="preserve">Special Cat Ultralife Sachê</t>
  </si>
  <si>
    <t xml:space="preserve">Frango com batata-doce - gatos adultos</t>
  </si>
  <si>
    <t xml:space="preserve">CONFIRMAR (85 g)</t>
  </si>
  <si>
    <t xml:space="preserve">Gran Plus Gourmet Sachê</t>
  </si>
  <si>
    <t xml:space="preserve">Salmão - gato adulto</t>
  </si>
  <si>
    <t xml:space="preserve">IMG_4291</t>
  </si>
  <si>
    <t xml:space="preserve">Carne - gato adulto</t>
  </si>
  <si>
    <t xml:space="preserve">Atum - gato adulto</t>
  </si>
  <si>
    <t xml:space="preserve">Frango - gato adulto castrado</t>
  </si>
  <si>
    <t xml:space="preserve">Ovelha - gato adulto castrado</t>
  </si>
  <si>
    <t xml:space="preserve">Salmão e frango - gato adulto castrado</t>
  </si>
  <si>
    <t xml:space="preserve">Frango - gato filhote</t>
  </si>
  <si>
    <t xml:space="preserve">Whiskas</t>
  </si>
  <si>
    <t xml:space="preserve">Whiskas Lata Adulto 1+</t>
  </si>
  <si>
    <t xml:space="preserve">Frango patê</t>
  </si>
  <si>
    <t xml:space="preserve">290 g</t>
  </si>
  <si>
    <t xml:space="preserve">Lata</t>
  </si>
  <si>
    <t xml:space="preserve">IMG_4292</t>
  </si>
  <si>
    <t xml:space="preserve">Atum patê</t>
  </si>
  <si>
    <t xml:space="preserve">Alimento úmido cão</t>
  </si>
  <si>
    <t xml:space="preserve">Pedigree</t>
  </si>
  <si>
    <t xml:space="preserve">Pedigree Lata Adulto</t>
  </si>
  <si>
    <t xml:space="preserve">280 g</t>
  </si>
  <si>
    <t xml:space="preserve">Carne patê</t>
  </si>
  <si>
    <t xml:space="preserve">Doogs Nuggets Dental Fresh</t>
  </si>
  <si>
    <t xml:space="preserve">Menta - hálito refrescante</t>
  </si>
  <si>
    <t xml:space="preserve">IMG_4290 e IMG_4289</t>
  </si>
  <si>
    <t xml:space="preserve">Com Yucca schidigera e probióticos</t>
  </si>
  <si>
    <t xml:space="preserve">Unna</t>
  </si>
  <si>
    <t xml:space="preserve">Bifinho Unna</t>
  </si>
  <si>
    <t xml:space="preserve">IMG_4289</t>
  </si>
  <si>
    <t xml:space="preserve">Etiqueta na caixa display, CONFIRMAR se é preço unitário</t>
  </si>
  <si>
    <t xml:space="preserve">Batuta</t>
  </si>
  <si>
    <t xml:space="preserve">Batuta Bifinhos Super Premium</t>
  </si>
  <si>
    <t xml:space="preserve">200 g</t>
  </si>
  <si>
    <t xml:space="preserve">Bifinho (embalagem amarela)</t>
  </si>
  <si>
    <t xml:space="preserve">Marca não legível na foto, CONFIRMAR</t>
  </si>
  <si>
    <t xml:space="preserve">Dog Chow Extra Life Sachê</t>
  </si>
  <si>
    <t xml:space="preserve">Frango - adultos minis e pequenos</t>
  </si>
  <si>
    <t xml:space="preserve">CONFIRMAR (100 g)</t>
  </si>
  <si>
    <t xml:space="preserve">IMG_4288</t>
  </si>
  <si>
    <t xml:space="preserve">Frango - adultos todos os tamanhos</t>
  </si>
  <si>
    <t xml:space="preserve">Dog Chow Nutrição Reforçada Sachê</t>
  </si>
  <si>
    <t xml:space="preserve">Adulto todos os tamanhos</t>
  </si>
  <si>
    <t xml:space="preserve">Kelco</t>
  </si>
  <si>
    <t xml:space="preserve">Sachê Kelco (Kelldog)</t>
  </si>
  <si>
    <t xml:space="preserve">Frango com ervilha e cenoura</t>
  </si>
  <si>
    <t xml:space="preserve">Carne com ervilha e cenoura</t>
  </si>
  <si>
    <t xml:space="preserve">Carne - cão adulto</t>
  </si>
  <si>
    <t xml:space="preserve">Frango - cão adulto</t>
  </si>
  <si>
    <t xml:space="preserve">Origens</t>
  </si>
  <si>
    <t xml:space="preserve">Origens Sachê Gato Castrado</t>
  </si>
  <si>
    <t xml:space="preserve">Frango e carne</t>
  </si>
  <si>
    <t xml:space="preserve">IMG_4287 e IMG_4286</t>
  </si>
  <si>
    <t xml:space="preserve">Caixa fechada na prateleira, CONFIRMAR preço e sabores</t>
  </si>
  <si>
    <t xml:space="preserve">Paladar Canino</t>
  </si>
  <si>
    <t xml:space="preserve">Palito mastigável natural 8 mm</t>
  </si>
  <si>
    <t xml:space="preserve">Natural</t>
  </si>
  <si>
    <t xml:space="preserve">1 kg (105 unidades)</t>
  </si>
  <si>
    <t xml:space="preserve">IMG_4287</t>
  </si>
  <si>
    <t xml:space="preserve">Também pode ser vendido por unidade, CONFIRMAR</t>
  </si>
  <si>
    <t xml:space="preserve">Gran Plus Biscoitos</t>
  </si>
  <si>
    <t xml:space="preserve">Leite - cães filhotes de todos os portes</t>
  </si>
  <si>
    <t xml:space="preserve">CONFIRMAR (200 g)</t>
  </si>
  <si>
    <t xml:space="preserve">Special Dog Ultralife Biscoitos Assados Filhotes</t>
  </si>
  <si>
    <t xml:space="preserve">IMG_4286</t>
  </si>
  <si>
    <t xml:space="preserve">Peso confirmado nesta foto: 250 g</t>
  </si>
  <si>
    <t xml:space="preserve">Cama redonda / toca pet</t>
  </si>
  <si>
    <t xml:space="preserve">Preta com rosa, preta com vermelho</t>
  </si>
  <si>
    <t xml:space="preserve">IMG_4284</t>
  </si>
  <si>
    <t xml:space="preserve">CONFIRMAR marca, tamanhos e preços</t>
  </si>
  <si>
    <t xml:space="preserve">Almofada / colchonete estampado</t>
  </si>
  <si>
    <t xml:space="preserve">Gatinhos, patinhas, ossinhos</t>
  </si>
  <si>
    <t xml:space="preserve">IMG_4283 e IMG_4285</t>
  </si>
  <si>
    <t xml:space="preserve">Etiqueta de marca aparece cortada, CONFIRMAR fabricante</t>
  </si>
  <si>
    <t xml:space="preserve">Caixa de transporte plástica</t>
  </si>
  <si>
    <t xml:space="preserve">Porta rosa, azul e roxa</t>
  </si>
  <si>
    <t xml:space="preserve">CONFIRMAR (nº 1 / 2 / 3)</t>
  </si>
  <si>
    <t xml:space="preserve">IMG_4282</t>
  </si>
  <si>
    <t xml:space="preserve">CONFIRMAR a qual tamanho a etiqueta pertence</t>
  </si>
  <si>
    <t xml:space="preserve">Caixa de transporte (modelo branco)</t>
  </si>
  <si>
    <t xml:space="preserve">Branca</t>
  </si>
  <si>
    <t xml:space="preserve">CONFIRMAR se é caixa de transporte ou banheiro</t>
  </si>
  <si>
    <t xml:space="preserve">Bandeja sanitária com grade</t>
  </si>
  <si>
    <t xml:space="preserve">Vermelha, rosa e vinho</t>
  </si>
  <si>
    <t xml:space="preserve">IMG_4280</t>
  </si>
  <si>
    <t xml:space="preserve">Cleaning Cats</t>
  </si>
  <si>
    <t xml:space="preserve">Granulado higiênico de madeira</t>
  </si>
  <si>
    <t xml:space="preserve">Gatos</t>
  </si>
  <si>
    <t xml:space="preserve">10 kg</t>
  </si>
  <si>
    <t xml:space="preserve">IMG_4280 e IMG_4279</t>
  </si>
  <si>
    <t xml:space="preserve">Borrifador / pulverizador manual</t>
  </si>
  <si>
    <t xml:space="preserve">Tampa vermelha e rosa</t>
  </si>
  <si>
    <t xml:space="preserve">CONFIRMAR (500 ml)</t>
  </si>
  <si>
    <t xml:space="preserve">IMG_4281</t>
  </si>
  <si>
    <t xml:space="preserve">Colar elizabetano</t>
  </si>
  <si>
    <t xml:space="preserve">CONFIRMAR (tamanhos variados)</t>
  </si>
  <si>
    <t xml:space="preserve">Etiqueta pouco legível, CONFIRMAR preço</t>
  </si>
  <si>
    <t xml:space="preserve">Avental / capa de tosa</t>
  </si>
  <si>
    <t xml:space="preserve">Preto</t>
  </si>
  <si>
    <t xml:space="preserve">CONFIRMAR se é avental de tosa ou capa</t>
  </si>
  <si>
    <t xml:space="preserve">Alpiste a granel</t>
  </si>
  <si>
    <t xml:space="preserve">Pássaros</t>
  </si>
  <si>
    <t xml:space="preserve">Por kg</t>
  </si>
  <si>
    <t xml:space="preserve">Quilo</t>
  </si>
  <si>
    <t xml:space="preserve">Venda a granel, CONFIRMAR fracionamento para o marketplace</t>
  </si>
  <si>
    <t xml:space="preserve">Mistura para Bicudo e Curió</t>
  </si>
  <si>
    <t xml:space="preserve">Venda a granel, CONFIRMAR fracionamento</t>
  </si>
  <si>
    <t xml:space="preserve">Special Cat Ultralife Gatos Castrados</t>
  </si>
  <si>
    <t xml:space="preserve">IMG_4279</t>
  </si>
  <si>
    <t xml:space="preserve">Special Cat Gatos Castrados</t>
  </si>
  <si>
    <t xml:space="preserve">Salmão - linha PremieRpet</t>
  </si>
  <si>
    <t xml:space="preserve">CONFIRMAR marca exata, embalagem preta</t>
  </si>
  <si>
    <t xml:space="preserve">Friskies Gatos</t>
  </si>
  <si>
    <t xml:space="preserve">CONFIRMAR sabor e público</t>
  </si>
  <si>
    <t xml:space="preserve">Golden Formula Filhotes</t>
  </si>
  <si>
    <t xml:space="preserve">Golden Delícias da Granja Adultos</t>
  </si>
  <si>
    <t xml:space="preserve">Carne e arroz - todos os portes</t>
  </si>
  <si>
    <t xml:space="preserve">Spert Cães Filhotes</t>
  </si>
  <si>
    <t xml:space="preserve">Fêmeas em gestação e lactação</t>
  </si>
  <si>
    <t xml:space="preserve">Gran Plus Gourmet Gatos</t>
  </si>
  <si>
    <t xml:space="preserve">Comedouro plástico redondo</t>
  </si>
  <si>
    <t xml:space="preserve">Laranja</t>
  </si>
  <si>
    <t xml:space="preserve">Pilha de comedouros no expositor, CONFIRMAR tamanhos e preço</t>
  </si>
  <si>
    <t xml:space="preserve">Ração gato granel</t>
  </si>
  <si>
    <t xml:space="preserve">Spert Gatos Adultos</t>
  </si>
  <si>
    <t xml:space="preserve">Frango e salmão - 32% proteína</t>
  </si>
  <si>
    <t xml:space="preserve">Granel - preço por kg</t>
  </si>
  <si>
    <t xml:space="preserve">IMG_4278 e IMG_4277</t>
  </si>
  <si>
    <t xml:space="preserve">Venda fracionada no dispenser</t>
  </si>
  <si>
    <t xml:space="preserve">Golden Gatos Filhotes</t>
  </si>
  <si>
    <t xml:space="preserve">Frango - nova fórmula</t>
  </si>
  <si>
    <t xml:space="preserve">IMG_4278</t>
  </si>
  <si>
    <t xml:space="preserve">Special Cat Filhotes</t>
  </si>
  <si>
    <t xml:space="preserve">Uauu! Gatos Alimento Premium</t>
  </si>
  <si>
    <t xml:space="preserve">Peixe, carne e frango</t>
  </si>
  <si>
    <t xml:space="preserve">IMG_4277</t>
  </si>
  <si>
    <t xml:space="preserve">Opção de entrada da loja</t>
  </si>
  <si>
    <t xml:space="preserve">Frango, peru e cenoura</t>
  </si>
  <si>
    <t xml:space="preserve">Finotrato Prime Gatos Adultos</t>
  </si>
  <si>
    <t xml:space="preserve">IMG_4276</t>
  </si>
  <si>
    <t xml:space="preserve">Gran Plus Gourmet Gato Adulto Castrado</t>
  </si>
  <si>
    <t xml:space="preserve">Maior preço por kg da linha de gato</t>
  </si>
  <si>
    <t xml:space="preserve">Spert Gatos Castrados</t>
  </si>
  <si>
    <t xml:space="preserve">Frango e salmão - 36% proteína</t>
  </si>
  <si>
    <t xml:space="preserve">Golden Gatos Castrados</t>
  </si>
  <si>
    <t xml:space="preserve">Etiqueta ilegível na foto, CONFIRMAR preço</t>
  </si>
  <si>
    <t xml:space="preserve">Ração cão granel</t>
  </si>
  <si>
    <t xml:space="preserve">Dog Choni Adultos Pequeno Porte</t>
  </si>
  <si>
    <t xml:space="preserve">IMG_4275</t>
  </si>
  <si>
    <t xml:space="preserve">Dog Choni Adultos Médios</t>
  </si>
  <si>
    <t xml:space="preserve">Uauu! Adultos Todas as Raças</t>
  </si>
  <si>
    <t xml:space="preserve">Etiqueta parcialmente coberta, CONFIRMAR preço</t>
  </si>
  <si>
    <t xml:space="preserve">Special Dog Júnior</t>
  </si>
  <si>
    <t xml:space="preserve">Carne - 26% proteína</t>
  </si>
  <si>
    <t xml:space="preserve">IMG_4274</t>
  </si>
  <si>
    <t xml:space="preserve">Special Dog Pró Adultos</t>
  </si>
  <si>
    <t xml:space="preserve">Vegetais - 21% proteína</t>
  </si>
  <si>
    <t xml:space="preserve">CONFIRMAR nome completo da linha</t>
  </si>
  <si>
    <t xml:space="preserve">Menor preço por kg da loja</t>
  </si>
  <si>
    <t xml:space="preserve">Spert Cães Adultos Pequeno Porte</t>
  </si>
  <si>
    <t xml:space="preserve">Gran Plus Menu Mini Adulto</t>
  </si>
  <si>
    <t xml:space="preserve">IMG_4273 e IMG_4271</t>
  </si>
  <si>
    <t xml:space="preserve">Finotrato Prime Cães Filhotes</t>
  </si>
  <si>
    <t xml:space="preserve">Frango e arroz - raças pequenas e médias</t>
  </si>
  <si>
    <t xml:space="preserve">IMG_4273</t>
  </si>
  <si>
    <t xml:space="preserve">Finotrato Nature Super Premium Cães Adultos</t>
  </si>
  <si>
    <t xml:space="preserve">Raças pequenas e médias</t>
  </si>
  <si>
    <t xml:space="preserve">Golden Formula Adultos Porte Pequeno</t>
  </si>
  <si>
    <t xml:space="preserve">IMG_4272</t>
  </si>
  <si>
    <t xml:space="preserve">Golden Formula Filhotes Porte Pequeno</t>
  </si>
  <si>
    <t xml:space="preserve">Finotrato Prime Cães Adultos</t>
  </si>
  <si>
    <t xml:space="preserve">Dog Chow Extra Life Adultos Minis e Pequenos</t>
  </si>
  <si>
    <t xml:space="preserve">Carne, frango e arroz</t>
  </si>
  <si>
    <t xml:space="preserve">IMG_4271</t>
  </si>
  <si>
    <t xml:space="preserve">Dog Chow Ótimo Começo Filhotes Minis e Pequenos</t>
  </si>
  <si>
    <t xml:space="preserve">Carne, frango, frutas e leite</t>
  </si>
  <si>
    <t xml:space="preserve">Gran Plus Menu Filhote Médio e Grande</t>
  </si>
  <si>
    <t xml:space="preserve">IMG_4270</t>
  </si>
  <si>
    <t xml:space="preserve">Gran Plus Menu Mini Filhote</t>
  </si>
  <si>
    <t xml:space="preserve">IMG_4269</t>
  </si>
  <si>
    <t xml:space="preserve">Uauu! Todas as Idades e Raças</t>
  </si>
  <si>
    <t xml:space="preserve">IMG_4270 e IMG_4269</t>
  </si>
  <si>
    <t xml:space="preserve">Frango e salmão</t>
  </si>
  <si>
    <t xml:space="preserve">Special Cat Gatos Adultos</t>
  </si>
  <si>
    <t xml:space="preserve">IMG_4268</t>
  </si>
  <si>
    <t xml:space="preserve">Special Cat Gatos Filhotes</t>
  </si>
  <si>
    <t xml:space="preserve">IMG_4267</t>
  </si>
  <si>
    <t xml:space="preserve">Item de maior valor unitário identificado</t>
  </si>
  <si>
    <t xml:space="preserve">Agromix</t>
  </si>
  <si>
    <t xml:space="preserve">Agromix Naturale Filhotes</t>
  </si>
  <si>
    <t xml:space="preserve">Natural Line - todas as raças</t>
  </si>
  <si>
    <t xml:space="preserve">Agromix Naturale Adultos</t>
  </si>
  <si>
    <t xml:space="preserve">Natural Line - raças pequenas</t>
  </si>
  <si>
    <t xml:space="preserve">Preço confirmado nesta foto</t>
  </si>
  <si>
    <t xml:space="preserve">Origens Sachê</t>
  </si>
  <si>
    <t xml:space="preserve">Carne ao molho - adultos e filhotes</t>
  </si>
  <si>
    <t xml:space="preserve">IMG_4259</t>
  </si>
  <si>
    <t xml:space="preserve">Promoção da loja: 3 por 10,00</t>
  </si>
  <si>
    <t xml:space="preserve">Origens Sachê Castrados</t>
  </si>
  <si>
    <t xml:space="preserve">Frango e carne - bolas de pelo</t>
  </si>
  <si>
    <t xml:space="preserve">Salmão - trato urinário</t>
  </si>
  <si>
    <t xml:space="preserve">Humaitá</t>
  </si>
  <si>
    <t xml:space="preserve">Humaitá Pet Treats Osso Suíno</t>
  </si>
  <si>
    <t xml:space="preserve">IMG_4263</t>
  </si>
  <si>
    <t xml:space="preserve">Produto natural</t>
  </si>
  <si>
    <t xml:space="preserve">Hora do Lanche Soft Snacks</t>
  </si>
  <si>
    <t xml:space="preserve">Carne e arroz com beterraba e linhaça</t>
  </si>
  <si>
    <t xml:space="preserve">CONFIRMAR (pacote individual)</t>
  </si>
  <si>
    <t xml:space="preserve">IMG_4260</t>
  </si>
  <si>
    <t xml:space="preserve">Etiqueta diz 5,00 cada pacotinho, display com vários</t>
  </si>
  <si>
    <t xml:space="preserve">BrinCat (Brincalhão)</t>
  </si>
  <si>
    <t xml:space="preserve">BrinCat Snacks Funcionais</t>
  </si>
  <si>
    <t xml:space="preserve">Catnip - fluidez digestiva</t>
  </si>
  <si>
    <t xml:space="preserve">40 g</t>
  </si>
  <si>
    <t xml:space="preserve">IMG_4261</t>
  </si>
  <si>
    <t xml:space="preserve">Friskies Party Mix</t>
  </si>
  <si>
    <t xml:space="preserve">Cordeiro e carne suína</t>
  </si>
  <si>
    <t xml:space="preserve">IMG_4261 e IMG_4262</t>
  </si>
  <si>
    <t xml:space="preserve">Mix Pet</t>
  </si>
  <si>
    <t xml:space="preserve">Coleira com guizo para cães e gatos</t>
  </si>
  <si>
    <t xml:space="preserve">IMG_4262</t>
  </si>
  <si>
    <t xml:space="preserve">Pet Socks - meias antiderrapantes</t>
  </si>
  <si>
    <t xml:space="preserve">M</t>
  </si>
  <si>
    <t xml:space="preserve">Par</t>
  </si>
  <si>
    <t xml:space="preserve">Bolinha com guizo para gato</t>
  </si>
  <si>
    <t xml:space="preserve">Cores variadas</t>
  </si>
  <si>
    <t xml:space="preserve">IMG_4264</t>
  </si>
  <si>
    <t xml:space="preserve">Caixa CAT TOYS no balcão</t>
  </si>
  <si>
    <t xml:space="preserve">Ratinho de pelúcia para gato</t>
  </si>
  <si>
    <t xml:space="preserve">Peixe de pelúcia com catnip</t>
  </si>
  <si>
    <t xml:space="preserve">Estampas variadas</t>
  </si>
  <si>
    <t xml:space="preserve">IMG_4265 e IMG_4266</t>
  </si>
  <si>
    <t xml:space="preserve">CONFIRMAR a qual item a etiqueta de 15,00 pertence</t>
  </si>
  <si>
    <t xml:space="preserve">Bola mordedora cravada</t>
  </si>
  <si>
    <t xml:space="preserve">Roxa</t>
  </si>
  <si>
    <t xml:space="preserve">IMG_4265</t>
  </si>
  <si>
    <t xml:space="preserve">Mordedor de borracha vermelho</t>
  </si>
  <si>
    <t xml:space="preserve">Vermelho</t>
  </si>
  <si>
    <t xml:space="preserve">Pelúcia com apito</t>
  </si>
  <si>
    <t xml:space="preserve">Cinza com osso</t>
  </si>
  <si>
    <t xml:space="preserve">Pet Ninho</t>
  </si>
  <si>
    <t xml:space="preserve">Pá higiênica para areia</t>
  </si>
  <si>
    <t xml:space="preserve">BomPet</t>
  </si>
  <si>
    <t xml:space="preserve">Saquinhos higiênicos em rolo</t>
  </si>
  <si>
    <t xml:space="preserve">Contém 60 unidades</t>
  </si>
  <si>
    <t xml:space="preserve">Rolo</t>
  </si>
  <si>
    <t xml:space="preserve">Cortador de unha tipo alicate com lixa</t>
  </si>
  <si>
    <t xml:space="preserve">Cães e gatos</t>
  </si>
  <si>
    <t xml:space="preserve">Kit</t>
  </si>
  <si>
    <t xml:space="preserve">Polo</t>
  </si>
  <si>
    <t xml:space="preserve">Cortador de unha com lixa e corrente</t>
  </si>
  <si>
    <t xml:space="preserve">Kit mamadeira e escova para filhotes</t>
  </si>
  <si>
    <t xml:space="preserve">Peitoral com guia para gato</t>
  </si>
  <si>
    <t xml:space="preserve">Azul estampado</t>
  </si>
  <si>
    <t xml:space="preserve">IMG_4266</t>
  </si>
  <si>
    <t xml:space="preserve">Plaquinha de identificação personalizada</t>
  </si>
  <si>
    <t xml:space="preserve">Redonda</t>
  </si>
  <si>
    <t xml:space="preserve">Modelo com nome, CONFIRMAR se é personalizada na hora</t>
  </si>
  <si>
    <t xml:space="preserve">Pacote de bolinhas coloridas</t>
  </si>
  <si>
    <t xml:space="preserve">Sortidas</t>
  </si>
  <si>
    <t xml:space="preserve">Cordeiro - adultos raças pequenas a partir de 12 meses</t>
  </si>
  <si>
    <t xml:space="preserve">1 kg</t>
  </si>
  <si>
    <t xml:space="preserve">IMG_4266 (lote 5)</t>
  </si>
  <si>
    <t xml:space="preserve">Zero corantes e aromatizantes, prebiótico, ômegas 3-6 e zinco, extrato de yucca</t>
  </si>
  <si>
    <t xml:space="preserve">Itens identificados nas fotos</t>
  </si>
  <si>
    <t xml:space="preserve">Itens com custo já preenchido</t>
  </si>
  <si>
    <t xml:space="preserve">Itens pendentes de confirmação</t>
  </si>
  <si>
    <t xml:space="preserve">Fonte: 50 fotos tiradas na Casa de Rações Filhos de 4 Patas em 26/08/2026. Custos de fornecedor ainda não informados.</t>
  </si>
  <si>
    <t xml:space="preserve">Campos mínimos para cadastrar um produto no marketplace Saúde Pet</t>
  </si>
  <si>
    <t xml:space="preserve">Campo</t>
  </si>
  <si>
    <t xml:space="preserve">Obrigatório</t>
  </si>
  <si>
    <t xml:space="preserve">Observação</t>
  </si>
  <si>
    <t xml:space="preserve">SKU interno</t>
  </si>
  <si>
    <t xml:space="preserve">Sim</t>
  </si>
  <si>
    <t xml:space="preserve">Padrão sugerido: FOR01-CATEGORIA-0001 (FOR01 = Filhos de 4 Patas)</t>
  </si>
  <si>
    <t xml:space="preserve">Nome do produto</t>
  </si>
  <si>
    <t xml:space="preserve">Marca + linha + sabor + peso. Ex: Golden Formula Adultos Frango e Arroz 15 kg</t>
  </si>
  <si>
    <t xml:space="preserve">Evita duplicidade quando entrarem novos fornecedores</t>
  </si>
  <si>
    <t xml:space="preserve">Categoria e subcategoria</t>
  </si>
  <si>
    <t xml:space="preserve">Cão / Gato / Pássaro &gt; Ração, Petisco, Higiene, Acessório</t>
  </si>
  <si>
    <t xml:space="preserve">Vira filtro na busca</t>
  </si>
  <si>
    <t xml:space="preserve">Peso ou tamanho</t>
  </si>
  <si>
    <t xml:space="preserve">Também usado no cálculo de frete</t>
  </si>
  <si>
    <t xml:space="preserve">Peso bruto para frete</t>
  </si>
  <si>
    <t xml:space="preserve">Saco de 15 kg muda a logística de retirada e entrega</t>
  </si>
  <si>
    <t xml:space="preserve">Custo do fornecedor</t>
  </si>
  <si>
    <t xml:space="preserve">Não aparece para o cliente</t>
  </si>
  <si>
    <t xml:space="preserve">Margem aplicada</t>
  </si>
  <si>
    <t xml:space="preserve">Padrão 40%, ajustável por item</t>
  </si>
  <si>
    <t xml:space="preserve">Preço de venda</t>
  </si>
  <si>
    <t xml:space="preserve">Gerado pelo custo x margem</t>
  </si>
  <si>
    <t xml:space="preserve">Estoque ou disponibilidade</t>
  </si>
  <si>
    <t xml:space="preserve">Se for sob encomenda, informar prazo na descrição</t>
  </si>
  <si>
    <t xml:space="preserve">Descrição</t>
  </si>
  <si>
    <t xml:space="preserve">Público (filhote/adulto/castrado), porte, benefícios da embalagem</t>
  </si>
  <si>
    <t xml:space="preserve">Fotos</t>
  </si>
  <si>
    <t xml:space="preserve">Frente da embalagem em fundo neutro, mínimo 2 imagens</t>
  </si>
  <si>
    <t xml:space="preserve">Fornecedor</t>
  </si>
  <si>
    <t xml:space="preserve">Campo interno, permite ranking de margem por fornecedor depois</t>
  </si>
  <si>
    <t xml:space="preserve">Prazo de reposição</t>
  </si>
  <si>
    <t xml:space="preserve">Não</t>
  </si>
  <si>
    <t xml:space="preserve">Útil quando o item estiver zerado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</si>
</sst>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&quot;R$ &quot;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5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5F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5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8" min="3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0.4</v>
      </c>
      <c r="C4" s="5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6" t="s">
        <v>5</v>
      </c>
      <c r="C7" s="2" t="s">
        <v>6</v>
      </c>
    </row>
    <row r="8" customFormat="false" ht="15" hidden="false" customHeight="false" outlineLevel="0" collapsed="false">
      <c r="A8" s="6" t="s">
        <v>7</v>
      </c>
      <c r="C8" s="2" t="s">
        <v>8</v>
      </c>
    </row>
    <row r="9" customFormat="false" ht="15" hidden="false" customHeight="false" outlineLevel="0" collapsed="false">
      <c r="A9" s="6" t="s">
        <v>9</v>
      </c>
      <c r="C9" s="2" t="s">
        <v>10</v>
      </c>
    </row>
    <row r="10" customFormat="false" ht="15" hidden="false" customHeight="false" outlineLevel="0" collapsed="false">
      <c r="A10" s="6" t="s">
        <v>11</v>
      </c>
      <c r="C10" s="2" t="s">
        <v>12</v>
      </c>
    </row>
    <row r="11" customFormat="false" ht="15" hidden="false" customHeight="false" outlineLevel="0" collapsed="false">
      <c r="A11" s="6" t="s">
        <v>13</v>
      </c>
      <c r="C11" s="2" t="s">
        <v>14</v>
      </c>
    </row>
    <row r="12" customFormat="false" ht="15" hidden="false" customHeight="false" outlineLevel="0" collapsed="false">
      <c r="A12" s="6" t="s">
        <v>15</v>
      </c>
      <c r="C12" s="2" t="s">
        <v>16</v>
      </c>
    </row>
    <row r="14" customFormat="false" ht="15" hidden="false" customHeight="false" outlineLevel="0" collapsed="false">
      <c r="A14" s="3" t="s">
        <v>17</v>
      </c>
    </row>
    <row r="15" customFormat="false" ht="27.75" hidden="false" customHeight="true" outlineLevel="0" collapsed="false">
      <c r="A15" s="7" t="s">
        <v>18</v>
      </c>
      <c r="B15" s="7"/>
      <c r="C15" s="7"/>
      <c r="D15" s="7"/>
      <c r="E15" s="7"/>
      <c r="F15" s="7"/>
      <c r="G15" s="7"/>
      <c r="H15" s="7"/>
    </row>
    <row r="16" customFormat="false" ht="27.75" hidden="false" customHeight="true" outlineLevel="0" collapsed="false">
      <c r="A16" s="7" t="s">
        <v>19</v>
      </c>
      <c r="B16" s="7"/>
      <c r="C16" s="7"/>
      <c r="D16" s="7"/>
      <c r="E16" s="7"/>
      <c r="F16" s="7"/>
      <c r="G16" s="7"/>
      <c r="H16" s="7"/>
    </row>
    <row r="17" customFormat="false" ht="27.75" hidden="false" customHeight="true" outlineLevel="0" collapsed="false">
      <c r="A17" s="7" t="s">
        <v>20</v>
      </c>
      <c r="B17" s="7"/>
      <c r="C17" s="7"/>
      <c r="D17" s="7"/>
      <c r="E17" s="7"/>
      <c r="F17" s="7"/>
      <c r="G17" s="7"/>
      <c r="H17" s="7"/>
    </row>
    <row r="18" customFormat="false" ht="27.75" hidden="false" customHeight="true" outlineLevel="0" collapsed="false">
      <c r="A18" s="7" t="s">
        <v>21</v>
      </c>
      <c r="B18" s="7"/>
      <c r="C18" s="7"/>
      <c r="D18" s="7"/>
      <c r="E18" s="7"/>
      <c r="F18" s="7"/>
      <c r="G18" s="7"/>
      <c r="H18" s="7"/>
    </row>
    <row r="19" customFormat="false" ht="27.75" hidden="false" customHeight="true" outlineLevel="0" collapsed="false">
      <c r="A19" s="7" t="s">
        <v>22</v>
      </c>
      <c r="B19" s="7"/>
      <c r="C19" s="7"/>
      <c r="D19" s="7"/>
      <c r="E19" s="7"/>
      <c r="F19" s="7"/>
      <c r="G19" s="7"/>
      <c r="H19" s="7"/>
    </row>
    <row r="20" customFormat="false" ht="27.75" hidden="false" customHeight="true" outlineLevel="0" collapsed="false">
      <c r="A20" s="7" t="s">
        <v>23</v>
      </c>
      <c r="B20" s="7"/>
      <c r="C20" s="7"/>
      <c r="D20" s="7"/>
      <c r="E20" s="7"/>
      <c r="F20" s="7"/>
      <c r="G20" s="7"/>
      <c r="H20" s="7"/>
    </row>
    <row r="21" customFormat="false" ht="27.75" hidden="false" customHeight="true" outlineLevel="0" collapsed="false">
      <c r="A21" s="7" t="s">
        <v>24</v>
      </c>
      <c r="B21" s="7"/>
      <c r="C21" s="7"/>
      <c r="D21" s="7"/>
      <c r="E21" s="7"/>
      <c r="F21" s="7"/>
      <c r="G21" s="7"/>
      <c r="H21" s="7"/>
    </row>
    <row r="22" customFormat="false" ht="27.75" hidden="false" customHeight="true" outlineLevel="0" collapsed="false">
      <c r="A22" s="7" t="s">
        <v>25</v>
      </c>
      <c r="B22" s="7"/>
      <c r="C22" s="7"/>
      <c r="D22" s="7"/>
      <c r="E22" s="7"/>
      <c r="F22" s="7"/>
      <c r="G22" s="7"/>
      <c r="H22" s="7"/>
    </row>
    <row r="24" customFormat="false" ht="15" hidden="false" customHeight="false" outlineLevel="0" collapsed="false">
      <c r="A24" s="3" t="s">
        <v>26</v>
      </c>
    </row>
    <row r="25" customFormat="false" ht="25.5" hidden="false" customHeight="true" outlineLevel="0" collapsed="false">
      <c r="A25" s="8" t="s">
        <v>27</v>
      </c>
      <c r="B25" s="8"/>
      <c r="C25" s="8"/>
      <c r="D25" s="8"/>
      <c r="E25" s="8"/>
      <c r="F25" s="8"/>
      <c r="G25" s="8"/>
      <c r="H25" s="8"/>
    </row>
    <row r="26" customFormat="false" ht="25.5" hidden="false" customHeight="true" outlineLevel="0" collapsed="false">
      <c r="A26" s="8" t="s">
        <v>28</v>
      </c>
      <c r="B26" s="8"/>
      <c r="C26" s="8"/>
      <c r="D26" s="8"/>
      <c r="E26" s="8"/>
      <c r="F26" s="8"/>
      <c r="G26" s="8"/>
      <c r="H26" s="8"/>
    </row>
    <row r="27" customFormat="false" ht="25.5" hidden="false" customHeight="true" outlineLevel="0" collapsed="false">
      <c r="A27" s="8" t="s">
        <v>29</v>
      </c>
      <c r="B27" s="8"/>
      <c r="C27" s="8"/>
      <c r="D27" s="8"/>
      <c r="E27" s="8"/>
      <c r="F27" s="8"/>
      <c r="G27" s="8"/>
      <c r="H27" s="8"/>
    </row>
  </sheetData>
  <mergeCells count="11">
    <mergeCell ref="A15:H15"/>
    <mergeCell ref="A16:H16"/>
    <mergeCell ref="A17:H17"/>
    <mergeCell ref="A18:H18"/>
    <mergeCell ref="A19:H19"/>
    <mergeCell ref="A20:H20"/>
    <mergeCell ref="A21:H21"/>
    <mergeCell ref="A22:H22"/>
    <mergeCell ref="A25:H25"/>
    <mergeCell ref="A26:H26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15"/>
    <col collapsed="false" customWidth="true" hidden="false" outlineLevel="0" max="8" min="7" style="0" width="16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15"/>
    <col collapsed="false" customWidth="true" hidden="false" outlineLevel="0" max="12" min="12" style="0" width="20"/>
    <col collapsed="false" customWidth="true" hidden="false" outlineLevel="0" max="14" min="13" style="0" width="10"/>
    <col collapsed="false" customWidth="true" hidden="false" outlineLevel="0" max="15" min="15" style="0" width="40"/>
  </cols>
  <sheetData>
    <row r="1" customFormat="false" ht="30" hidden="false" customHeight="true" outlineLevel="0" collapsed="false">
      <c r="A1" s="9" t="s">
        <v>30</v>
      </c>
      <c r="B1" s="9" t="s">
        <v>31</v>
      </c>
      <c r="C1" s="9" t="s">
        <v>32</v>
      </c>
      <c r="D1" s="9" t="s">
        <v>33</v>
      </c>
      <c r="E1" s="9" t="s">
        <v>34</v>
      </c>
      <c r="F1" s="9" t="s">
        <v>35</v>
      </c>
      <c r="G1" s="9" t="s">
        <v>36</v>
      </c>
      <c r="H1" s="9" t="s">
        <v>37</v>
      </c>
      <c r="I1" s="9" t="s">
        <v>38</v>
      </c>
      <c r="J1" s="9" t="s">
        <v>39</v>
      </c>
      <c r="K1" s="9" t="s">
        <v>40</v>
      </c>
      <c r="L1" s="9" t="s">
        <v>41</v>
      </c>
      <c r="M1" s="9" t="s">
        <v>42</v>
      </c>
      <c r="N1" s="9" t="s">
        <v>43</v>
      </c>
      <c r="O1" s="9" t="s">
        <v>44</v>
      </c>
    </row>
    <row r="2" customFormat="false" ht="15" hidden="false" customHeight="false" outlineLevel="0" collapsed="false">
      <c r="A2" s="10" t="s">
        <v>45</v>
      </c>
      <c r="B2" s="10" t="s">
        <v>46</v>
      </c>
      <c r="C2" s="10" t="s">
        <v>47</v>
      </c>
      <c r="D2" s="10" t="s">
        <v>48</v>
      </c>
      <c r="E2" s="10" t="s">
        <v>49</v>
      </c>
      <c r="F2" s="10" t="s">
        <v>50</v>
      </c>
      <c r="G2" s="10" t="s">
        <v>51</v>
      </c>
      <c r="H2" s="11" t="n">
        <v>150</v>
      </c>
      <c r="I2" s="12" t="n">
        <f aca="false">Instruções!$B$4</f>
        <v>0.4</v>
      </c>
      <c r="J2" s="11" t="n">
        <f aca="false">IF(H2="","",H2*(1+I2))</f>
        <v>210</v>
      </c>
      <c r="K2" s="11" t="n">
        <v>196.5</v>
      </c>
      <c r="L2" s="10" t="s">
        <v>52</v>
      </c>
      <c r="M2" s="10" t="n">
        <v>8</v>
      </c>
      <c r="N2" s="10" t="s">
        <v>53</v>
      </c>
      <c r="O2" s="10" t="s">
        <v>54</v>
      </c>
    </row>
    <row r="3" customFormat="false" ht="23.85" hidden="false" customHeight="false" outlineLevel="0" collapsed="false">
      <c r="A3" s="13" t="n">
        <v>1</v>
      </c>
      <c r="B3" s="13" t="s">
        <v>46</v>
      </c>
      <c r="C3" s="13" t="s">
        <v>47</v>
      </c>
      <c r="D3" s="14" t="s">
        <v>48</v>
      </c>
      <c r="E3" s="14" t="s">
        <v>49</v>
      </c>
      <c r="F3" s="13" t="s">
        <v>50</v>
      </c>
      <c r="G3" s="13" t="s">
        <v>51</v>
      </c>
      <c r="H3" s="15"/>
      <c r="I3" s="16" t="n">
        <f aca="false">Instruções!$B$4</f>
        <v>0.4</v>
      </c>
      <c r="J3" s="17" t="str">
        <f aca="false">IF(H3="","",H3*(1+I3))</f>
        <v/>
      </c>
      <c r="K3" s="17" t="n">
        <v>196.5</v>
      </c>
      <c r="L3" s="18"/>
      <c r="M3" s="18"/>
      <c r="N3" s="13" t="s">
        <v>53</v>
      </c>
      <c r="O3" s="14"/>
    </row>
    <row r="4" customFormat="false" ht="15" hidden="false" customHeight="false" outlineLevel="0" collapsed="false">
      <c r="A4" s="13" t="n">
        <v>2</v>
      </c>
      <c r="B4" s="13" t="s">
        <v>46</v>
      </c>
      <c r="C4" s="13" t="s">
        <v>47</v>
      </c>
      <c r="D4" s="14" t="s">
        <v>48</v>
      </c>
      <c r="E4" s="14" t="s">
        <v>55</v>
      </c>
      <c r="F4" s="13" t="s">
        <v>56</v>
      </c>
      <c r="G4" s="13" t="s">
        <v>51</v>
      </c>
      <c r="H4" s="15"/>
      <c r="I4" s="16" t="n">
        <f aca="false">Instruções!$B$4</f>
        <v>0.4</v>
      </c>
      <c r="J4" s="17" t="str">
        <f aca="false">IF(H4="","",H4*(1+I4))</f>
        <v/>
      </c>
      <c r="K4" s="17"/>
      <c r="L4" s="18"/>
      <c r="M4" s="18"/>
      <c r="N4" s="13" t="s">
        <v>53</v>
      </c>
      <c r="O4" s="14" t="s">
        <v>57</v>
      </c>
    </row>
    <row r="5" customFormat="false" ht="23.85" hidden="false" customHeight="false" outlineLevel="0" collapsed="false">
      <c r="A5" s="13" t="n">
        <v>3</v>
      </c>
      <c r="B5" s="13" t="s">
        <v>46</v>
      </c>
      <c r="C5" s="13" t="s">
        <v>58</v>
      </c>
      <c r="D5" s="14" t="s">
        <v>59</v>
      </c>
      <c r="E5" s="14" t="s">
        <v>60</v>
      </c>
      <c r="F5" s="13" t="s">
        <v>50</v>
      </c>
      <c r="G5" s="13" t="s">
        <v>51</v>
      </c>
      <c r="H5" s="15"/>
      <c r="I5" s="16" t="n">
        <f aca="false">Instruções!$B$4</f>
        <v>0.4</v>
      </c>
      <c r="J5" s="17" t="str">
        <f aca="false">IF(H5="","",H5*(1+I5))</f>
        <v/>
      </c>
      <c r="K5" s="17" t="n">
        <v>175.9</v>
      </c>
      <c r="L5" s="18"/>
      <c r="M5" s="18"/>
      <c r="N5" s="13" t="s">
        <v>53</v>
      </c>
      <c r="O5" s="14"/>
    </row>
    <row r="6" customFormat="false" ht="23.85" hidden="false" customHeight="false" outlineLevel="0" collapsed="false">
      <c r="A6" s="13" t="n">
        <v>4</v>
      </c>
      <c r="B6" s="13" t="s">
        <v>46</v>
      </c>
      <c r="C6" s="13" t="s">
        <v>61</v>
      </c>
      <c r="D6" s="14" t="s">
        <v>62</v>
      </c>
      <c r="E6" s="14" t="s">
        <v>49</v>
      </c>
      <c r="F6" s="13" t="s">
        <v>50</v>
      </c>
      <c r="G6" s="13" t="s">
        <v>51</v>
      </c>
      <c r="H6" s="15"/>
      <c r="I6" s="16" t="n">
        <f aca="false">Instruções!$B$4</f>
        <v>0.4</v>
      </c>
      <c r="J6" s="17" t="str">
        <f aca="false">IF(H6="","",H6*(1+I6))</f>
        <v/>
      </c>
      <c r="K6" s="17" t="n">
        <v>140</v>
      </c>
      <c r="L6" s="18"/>
      <c r="M6" s="18"/>
      <c r="N6" s="13" t="s">
        <v>53</v>
      </c>
      <c r="O6" s="14"/>
    </row>
    <row r="7" customFormat="false" ht="23.85" hidden="false" customHeight="false" outlineLevel="0" collapsed="false">
      <c r="A7" s="13" t="n">
        <v>5</v>
      </c>
      <c r="B7" s="13" t="s">
        <v>46</v>
      </c>
      <c r="C7" s="13" t="s">
        <v>61</v>
      </c>
      <c r="D7" s="14" t="s">
        <v>63</v>
      </c>
      <c r="E7" s="14" t="s">
        <v>49</v>
      </c>
      <c r="F7" s="13" t="s">
        <v>64</v>
      </c>
      <c r="G7" s="13" t="s">
        <v>51</v>
      </c>
      <c r="H7" s="15"/>
      <c r="I7" s="16" t="n">
        <f aca="false">Instruções!$B$4</f>
        <v>0.4</v>
      </c>
      <c r="J7" s="17" t="str">
        <f aca="false">IF(H7="","",H7*(1+I7))</f>
        <v/>
      </c>
      <c r="K7" s="17"/>
      <c r="L7" s="18"/>
      <c r="M7" s="18"/>
      <c r="N7" s="13" t="s">
        <v>65</v>
      </c>
      <c r="O7" s="14" t="s">
        <v>66</v>
      </c>
    </row>
    <row r="8" customFormat="false" ht="15" hidden="false" customHeight="false" outlineLevel="0" collapsed="false">
      <c r="A8" s="13" t="n">
        <v>6</v>
      </c>
      <c r="B8" s="13" t="s">
        <v>46</v>
      </c>
      <c r="C8" s="13" t="s">
        <v>67</v>
      </c>
      <c r="D8" s="14" t="s">
        <v>68</v>
      </c>
      <c r="E8" s="14" t="s">
        <v>69</v>
      </c>
      <c r="F8" s="13" t="s">
        <v>50</v>
      </c>
      <c r="G8" s="13" t="s">
        <v>51</v>
      </c>
      <c r="H8" s="15"/>
      <c r="I8" s="16" t="n">
        <f aca="false">Instruções!$B$4</f>
        <v>0.4</v>
      </c>
      <c r="J8" s="17" t="str">
        <f aca="false">IF(H8="","",H8*(1+I8))</f>
        <v/>
      </c>
      <c r="K8" s="17" t="n">
        <v>77</v>
      </c>
      <c r="L8" s="18"/>
      <c r="M8" s="18"/>
      <c r="N8" s="13" t="s">
        <v>53</v>
      </c>
      <c r="O8" s="14" t="s">
        <v>70</v>
      </c>
    </row>
    <row r="9" customFormat="false" ht="23.85" hidden="false" customHeight="false" outlineLevel="0" collapsed="false">
      <c r="A9" s="13" t="n">
        <v>7</v>
      </c>
      <c r="B9" s="13" t="s">
        <v>46</v>
      </c>
      <c r="C9" s="13" t="s">
        <v>71</v>
      </c>
      <c r="D9" s="14" t="s">
        <v>72</v>
      </c>
      <c r="E9" s="14" t="s">
        <v>55</v>
      </c>
      <c r="F9" s="13" t="s">
        <v>50</v>
      </c>
      <c r="G9" s="13" t="s">
        <v>51</v>
      </c>
      <c r="H9" s="15"/>
      <c r="I9" s="16" t="n">
        <f aca="false">Instruções!$B$4</f>
        <v>0.4</v>
      </c>
      <c r="J9" s="17" t="str">
        <f aca="false">IF(H9="","",H9*(1+I9))</f>
        <v/>
      </c>
      <c r="K9" s="17"/>
      <c r="L9" s="18"/>
      <c r="M9" s="18"/>
      <c r="N9" s="13" t="s">
        <v>73</v>
      </c>
      <c r="O9" s="14" t="s">
        <v>74</v>
      </c>
    </row>
    <row r="10" customFormat="false" ht="15" hidden="false" customHeight="false" outlineLevel="0" collapsed="false">
      <c r="A10" s="13" t="n">
        <v>8</v>
      </c>
      <c r="B10" s="13" t="s">
        <v>46</v>
      </c>
      <c r="C10" s="13" t="s">
        <v>75</v>
      </c>
      <c r="D10" s="14" t="s">
        <v>76</v>
      </c>
      <c r="E10" s="14" t="s">
        <v>77</v>
      </c>
      <c r="F10" s="13" t="s">
        <v>50</v>
      </c>
      <c r="G10" s="13" t="s">
        <v>51</v>
      </c>
      <c r="H10" s="15"/>
      <c r="I10" s="16" t="n">
        <f aca="false">Instruções!$B$4</f>
        <v>0.4</v>
      </c>
      <c r="J10" s="17" t="str">
        <f aca="false">IF(H10="","",H10*(1+I10))</f>
        <v/>
      </c>
      <c r="K10" s="17"/>
      <c r="L10" s="18"/>
      <c r="M10" s="18"/>
      <c r="N10" s="13" t="s">
        <v>53</v>
      </c>
      <c r="O10" s="14" t="s">
        <v>78</v>
      </c>
    </row>
    <row r="11" customFormat="false" ht="15" hidden="false" customHeight="false" outlineLevel="0" collapsed="false">
      <c r="A11" s="13" t="n">
        <v>9</v>
      </c>
      <c r="B11" s="13" t="s">
        <v>46</v>
      </c>
      <c r="C11" s="13" t="s">
        <v>79</v>
      </c>
      <c r="D11" s="14" t="s">
        <v>80</v>
      </c>
      <c r="E11" s="14" t="s">
        <v>64</v>
      </c>
      <c r="F11" s="13" t="s">
        <v>50</v>
      </c>
      <c r="G11" s="13" t="s">
        <v>51</v>
      </c>
      <c r="H11" s="15"/>
      <c r="I11" s="16" t="n">
        <f aca="false">Instruções!$B$4</f>
        <v>0.4</v>
      </c>
      <c r="J11" s="17" t="str">
        <f aca="false">IF(H11="","",H11*(1+I11))</f>
        <v/>
      </c>
      <c r="K11" s="17"/>
      <c r="L11" s="18"/>
      <c r="M11" s="18"/>
      <c r="N11" s="13" t="s">
        <v>53</v>
      </c>
      <c r="O11" s="14" t="s">
        <v>81</v>
      </c>
    </row>
    <row r="12" customFormat="false" ht="23.85" hidden="false" customHeight="false" outlineLevel="0" collapsed="false">
      <c r="A12" s="13" t="n">
        <v>10</v>
      </c>
      <c r="B12" s="13" t="s">
        <v>46</v>
      </c>
      <c r="C12" s="13" t="s">
        <v>79</v>
      </c>
      <c r="D12" s="14" t="s">
        <v>82</v>
      </c>
      <c r="E12" s="14" t="s">
        <v>83</v>
      </c>
      <c r="F12" s="13" t="s">
        <v>84</v>
      </c>
      <c r="G12" s="13" t="s">
        <v>51</v>
      </c>
      <c r="H12" s="15"/>
      <c r="I12" s="16" t="n">
        <f aca="false">Instruções!$B$4</f>
        <v>0.4</v>
      </c>
      <c r="J12" s="17" t="str">
        <f aca="false">IF(H12="","",H12*(1+I12))</f>
        <v/>
      </c>
      <c r="K12" s="17"/>
      <c r="L12" s="18"/>
      <c r="M12" s="18"/>
      <c r="N12" s="13" t="s">
        <v>65</v>
      </c>
      <c r="O12" s="14" t="s">
        <v>85</v>
      </c>
    </row>
    <row r="13" customFormat="false" ht="23.85" hidden="false" customHeight="false" outlineLevel="0" collapsed="false">
      <c r="A13" s="13" t="n">
        <v>11</v>
      </c>
      <c r="B13" s="13" t="s">
        <v>46</v>
      </c>
      <c r="C13" s="13" t="s">
        <v>86</v>
      </c>
      <c r="D13" s="14" t="s">
        <v>87</v>
      </c>
      <c r="E13" s="14" t="s">
        <v>88</v>
      </c>
      <c r="F13" s="13" t="s">
        <v>64</v>
      </c>
      <c r="G13" s="13" t="s">
        <v>51</v>
      </c>
      <c r="H13" s="15"/>
      <c r="I13" s="16" t="n">
        <f aca="false">Instruções!$B$4</f>
        <v>0.4</v>
      </c>
      <c r="J13" s="17" t="str">
        <f aca="false">IF(H13="","",H13*(1+I13))</f>
        <v/>
      </c>
      <c r="K13" s="17"/>
      <c r="L13" s="18"/>
      <c r="M13" s="18"/>
      <c r="N13" s="13" t="s">
        <v>65</v>
      </c>
      <c r="O13" s="14" t="s">
        <v>66</v>
      </c>
    </row>
    <row r="14" customFormat="false" ht="15" hidden="false" customHeight="false" outlineLevel="0" collapsed="false">
      <c r="A14" s="13" t="n">
        <v>12</v>
      </c>
      <c r="B14" s="13" t="s">
        <v>46</v>
      </c>
      <c r="C14" s="13" t="s">
        <v>86</v>
      </c>
      <c r="D14" s="14" t="s">
        <v>87</v>
      </c>
      <c r="E14" s="14" t="s">
        <v>55</v>
      </c>
      <c r="F14" s="13" t="s">
        <v>50</v>
      </c>
      <c r="G14" s="13" t="s">
        <v>51</v>
      </c>
      <c r="H14" s="15"/>
      <c r="I14" s="16" t="n">
        <f aca="false">Instruções!$B$4</f>
        <v>0.4</v>
      </c>
      <c r="J14" s="17" t="str">
        <f aca="false">IF(H14="","",H14*(1+I14))</f>
        <v/>
      </c>
      <c r="K14" s="17"/>
      <c r="L14" s="18"/>
      <c r="M14" s="18"/>
      <c r="N14" s="13" t="s">
        <v>53</v>
      </c>
      <c r="O14" s="14"/>
    </row>
    <row r="15" customFormat="false" ht="15" hidden="false" customHeight="false" outlineLevel="0" collapsed="false">
      <c r="A15" s="13" t="n">
        <v>13</v>
      </c>
      <c r="B15" s="13" t="s">
        <v>46</v>
      </c>
      <c r="C15" s="13" t="s">
        <v>89</v>
      </c>
      <c r="D15" s="14" t="s">
        <v>90</v>
      </c>
      <c r="E15" s="14" t="s">
        <v>77</v>
      </c>
      <c r="F15" s="13" t="s">
        <v>91</v>
      </c>
      <c r="G15" s="13" t="s">
        <v>51</v>
      </c>
      <c r="H15" s="15"/>
      <c r="I15" s="16" t="n">
        <f aca="false">Instruções!$B$4</f>
        <v>0.4</v>
      </c>
      <c r="J15" s="17" t="str">
        <f aca="false">IF(H15="","",H15*(1+I15))</f>
        <v/>
      </c>
      <c r="K15" s="17"/>
      <c r="L15" s="18"/>
      <c r="M15" s="18"/>
      <c r="N15" s="13" t="s">
        <v>65</v>
      </c>
      <c r="O15" s="14"/>
    </row>
    <row r="16" customFormat="false" ht="15" hidden="false" customHeight="false" outlineLevel="0" collapsed="false">
      <c r="A16" s="13" t="n">
        <v>14</v>
      </c>
      <c r="B16" s="13" t="s">
        <v>46</v>
      </c>
      <c r="C16" s="13" t="s">
        <v>92</v>
      </c>
      <c r="D16" s="14" t="s">
        <v>93</v>
      </c>
      <c r="E16" s="14" t="s">
        <v>94</v>
      </c>
      <c r="F16" s="13" t="s">
        <v>64</v>
      </c>
      <c r="G16" s="13" t="s">
        <v>51</v>
      </c>
      <c r="H16" s="15"/>
      <c r="I16" s="16" t="n">
        <f aca="false">Instruções!$B$4</f>
        <v>0.4</v>
      </c>
      <c r="J16" s="17" t="str">
        <f aca="false">IF(H16="","",H16*(1+I16))</f>
        <v/>
      </c>
      <c r="K16" s="17"/>
      <c r="L16" s="18"/>
      <c r="M16" s="18"/>
      <c r="N16" s="13" t="s">
        <v>95</v>
      </c>
      <c r="O16" s="14" t="s">
        <v>96</v>
      </c>
    </row>
    <row r="17" customFormat="false" ht="15" hidden="false" customHeight="false" outlineLevel="0" collapsed="false">
      <c r="A17" s="13" t="n">
        <v>15</v>
      </c>
      <c r="B17" s="13" t="s">
        <v>46</v>
      </c>
      <c r="C17" s="13" t="s">
        <v>97</v>
      </c>
      <c r="D17" s="14" t="s">
        <v>98</v>
      </c>
      <c r="E17" s="14" t="s">
        <v>99</v>
      </c>
      <c r="F17" s="13" t="s">
        <v>56</v>
      </c>
      <c r="G17" s="13" t="s">
        <v>51</v>
      </c>
      <c r="H17" s="15"/>
      <c r="I17" s="16" t="n">
        <f aca="false">Instruções!$B$4</f>
        <v>0.4</v>
      </c>
      <c r="J17" s="17" t="str">
        <f aca="false">IF(H17="","",H17*(1+I17))</f>
        <v/>
      </c>
      <c r="K17" s="17"/>
      <c r="L17" s="18"/>
      <c r="M17" s="18"/>
      <c r="N17" s="13" t="s">
        <v>65</v>
      </c>
      <c r="O17" s="14" t="s">
        <v>100</v>
      </c>
    </row>
    <row r="18" customFormat="false" ht="15" hidden="false" customHeight="false" outlineLevel="0" collapsed="false">
      <c r="A18" s="13" t="n">
        <v>16</v>
      </c>
      <c r="B18" s="13" t="s">
        <v>46</v>
      </c>
      <c r="C18" s="13" t="s">
        <v>97</v>
      </c>
      <c r="D18" s="14" t="s">
        <v>101</v>
      </c>
      <c r="E18" s="14" t="s">
        <v>102</v>
      </c>
      <c r="F18" s="13" t="s">
        <v>56</v>
      </c>
      <c r="G18" s="13" t="s">
        <v>51</v>
      </c>
      <c r="H18" s="15"/>
      <c r="I18" s="16" t="n">
        <f aca="false">Instruções!$B$4</f>
        <v>0.4</v>
      </c>
      <c r="J18" s="17" t="str">
        <f aca="false">IF(H18="","",H18*(1+I18))</f>
        <v/>
      </c>
      <c r="K18" s="17"/>
      <c r="L18" s="18"/>
      <c r="M18" s="18"/>
      <c r="N18" s="13" t="s">
        <v>53</v>
      </c>
      <c r="O18" s="14" t="s">
        <v>103</v>
      </c>
    </row>
    <row r="19" customFormat="false" ht="15" hidden="false" customHeight="false" outlineLevel="0" collapsed="false">
      <c r="A19" s="13" t="n">
        <v>17</v>
      </c>
      <c r="B19" s="13" t="s">
        <v>104</v>
      </c>
      <c r="C19" s="13" t="s">
        <v>105</v>
      </c>
      <c r="D19" s="14" t="s">
        <v>106</v>
      </c>
      <c r="E19" s="14" t="s">
        <v>107</v>
      </c>
      <c r="F19" s="13" t="s">
        <v>56</v>
      </c>
      <c r="G19" s="13" t="s">
        <v>51</v>
      </c>
      <c r="H19" s="15"/>
      <c r="I19" s="16" t="n">
        <f aca="false">Instruções!$B$4</f>
        <v>0.4</v>
      </c>
      <c r="J19" s="17" t="str">
        <f aca="false">IF(H19="","",H19*(1+I19))</f>
        <v/>
      </c>
      <c r="K19" s="17"/>
      <c r="L19" s="18"/>
      <c r="M19" s="18"/>
      <c r="N19" s="13" t="s">
        <v>65</v>
      </c>
      <c r="O19" s="14"/>
    </row>
    <row r="20" customFormat="false" ht="15" hidden="false" customHeight="false" outlineLevel="0" collapsed="false">
      <c r="A20" s="13" t="n">
        <v>18</v>
      </c>
      <c r="B20" s="13" t="s">
        <v>104</v>
      </c>
      <c r="C20" s="13" t="s">
        <v>105</v>
      </c>
      <c r="D20" s="14" t="s">
        <v>108</v>
      </c>
      <c r="E20" s="14" t="s">
        <v>109</v>
      </c>
      <c r="F20" s="13" t="s">
        <v>56</v>
      </c>
      <c r="G20" s="13" t="s">
        <v>51</v>
      </c>
      <c r="H20" s="15"/>
      <c r="I20" s="16" t="n">
        <f aca="false">Instruções!$B$4</f>
        <v>0.4</v>
      </c>
      <c r="J20" s="17" t="str">
        <f aca="false">IF(H20="","",H20*(1+I20))</f>
        <v/>
      </c>
      <c r="K20" s="17"/>
      <c r="L20" s="18"/>
      <c r="M20" s="18"/>
      <c r="N20" s="13" t="s">
        <v>65</v>
      </c>
      <c r="O20" s="14" t="s">
        <v>110</v>
      </c>
    </row>
    <row r="21" customFormat="false" ht="23.85" hidden="false" customHeight="false" outlineLevel="0" collapsed="false">
      <c r="A21" s="13" t="n">
        <v>19</v>
      </c>
      <c r="B21" s="13" t="s">
        <v>104</v>
      </c>
      <c r="C21" s="13" t="s">
        <v>111</v>
      </c>
      <c r="D21" s="14" t="s">
        <v>112</v>
      </c>
      <c r="E21" s="14" t="s">
        <v>113</v>
      </c>
      <c r="F21" s="13" t="s">
        <v>64</v>
      </c>
      <c r="G21" s="13" t="s">
        <v>51</v>
      </c>
      <c r="H21" s="15"/>
      <c r="I21" s="16" t="n">
        <f aca="false">Instruções!$B$4</f>
        <v>0.4</v>
      </c>
      <c r="J21" s="17" t="str">
        <f aca="false">IF(H21="","",H21*(1+I21))</f>
        <v/>
      </c>
      <c r="K21" s="17"/>
      <c r="L21" s="18"/>
      <c r="M21" s="18"/>
      <c r="N21" s="13" t="s">
        <v>65</v>
      </c>
      <c r="O21" s="14" t="s">
        <v>66</v>
      </c>
    </row>
    <row r="22" customFormat="false" ht="15" hidden="false" customHeight="false" outlineLevel="0" collapsed="false">
      <c r="A22" s="13" t="n">
        <v>20</v>
      </c>
      <c r="B22" s="13" t="s">
        <v>104</v>
      </c>
      <c r="C22" s="13" t="s">
        <v>111</v>
      </c>
      <c r="D22" s="14" t="s">
        <v>114</v>
      </c>
      <c r="E22" s="14" t="s">
        <v>64</v>
      </c>
      <c r="F22" s="13" t="s">
        <v>56</v>
      </c>
      <c r="G22" s="13" t="s">
        <v>51</v>
      </c>
      <c r="H22" s="15"/>
      <c r="I22" s="16" t="n">
        <f aca="false">Instruções!$B$4</f>
        <v>0.4</v>
      </c>
      <c r="J22" s="17" t="str">
        <f aca="false">IF(H22="","",H22*(1+I22))</f>
        <v/>
      </c>
      <c r="K22" s="17"/>
      <c r="L22" s="18"/>
      <c r="M22" s="18"/>
      <c r="N22" s="13" t="s">
        <v>53</v>
      </c>
      <c r="O22" s="14" t="s">
        <v>78</v>
      </c>
    </row>
    <row r="23" customFormat="false" ht="23.85" hidden="false" customHeight="false" outlineLevel="0" collapsed="false">
      <c r="A23" s="13" t="n">
        <v>21</v>
      </c>
      <c r="B23" s="13" t="s">
        <v>115</v>
      </c>
      <c r="C23" s="13" t="s">
        <v>47</v>
      </c>
      <c r="D23" s="14" t="s">
        <v>116</v>
      </c>
      <c r="E23" s="14" t="s">
        <v>117</v>
      </c>
      <c r="F23" s="13" t="s">
        <v>64</v>
      </c>
      <c r="G23" s="13" t="s">
        <v>118</v>
      </c>
      <c r="H23" s="15"/>
      <c r="I23" s="16" t="n">
        <f aca="false">Instruções!$B$4</f>
        <v>0.4</v>
      </c>
      <c r="J23" s="17" t="str">
        <f aca="false">IF(H23="","",H23*(1+I23))</f>
        <v/>
      </c>
      <c r="K23" s="17" t="n">
        <v>19.5</v>
      </c>
      <c r="L23" s="18"/>
      <c r="M23" s="18"/>
      <c r="N23" s="13" t="s">
        <v>119</v>
      </c>
      <c r="O23" s="14" t="s">
        <v>120</v>
      </c>
    </row>
    <row r="24" customFormat="false" ht="23.85" hidden="false" customHeight="false" outlineLevel="0" collapsed="false">
      <c r="A24" s="13" t="n">
        <v>22</v>
      </c>
      <c r="B24" s="13" t="s">
        <v>115</v>
      </c>
      <c r="C24" s="13" t="s">
        <v>79</v>
      </c>
      <c r="D24" s="14" t="s">
        <v>121</v>
      </c>
      <c r="E24" s="14" t="s">
        <v>122</v>
      </c>
      <c r="F24" s="13" t="s">
        <v>64</v>
      </c>
      <c r="G24" s="13" t="s">
        <v>118</v>
      </c>
      <c r="H24" s="15"/>
      <c r="I24" s="16" t="n">
        <f aca="false">Instruções!$B$4</f>
        <v>0.4</v>
      </c>
      <c r="J24" s="17" t="str">
        <f aca="false">IF(H24="","",H24*(1+I24))</f>
        <v/>
      </c>
      <c r="K24" s="17" t="n">
        <v>16.3</v>
      </c>
      <c r="L24" s="18"/>
      <c r="M24" s="18"/>
      <c r="N24" s="13" t="s">
        <v>119</v>
      </c>
      <c r="O24" s="14" t="s">
        <v>123</v>
      </c>
    </row>
    <row r="25" customFormat="false" ht="15" hidden="false" customHeight="false" outlineLevel="0" collapsed="false">
      <c r="A25" s="13" t="n">
        <v>23</v>
      </c>
      <c r="B25" s="13" t="s">
        <v>115</v>
      </c>
      <c r="C25" s="13" t="s">
        <v>124</v>
      </c>
      <c r="D25" s="14" t="s">
        <v>125</v>
      </c>
      <c r="E25" s="14" t="s">
        <v>126</v>
      </c>
      <c r="F25" s="13" t="s">
        <v>64</v>
      </c>
      <c r="G25" s="13" t="s">
        <v>118</v>
      </c>
      <c r="H25" s="15"/>
      <c r="I25" s="16" t="n">
        <f aca="false">Instruções!$B$4</f>
        <v>0.4</v>
      </c>
      <c r="J25" s="17" t="str">
        <f aca="false">IF(H25="","",H25*(1+I25))</f>
        <v/>
      </c>
      <c r="K25" s="17"/>
      <c r="L25" s="18"/>
      <c r="M25" s="18"/>
      <c r="N25" s="13" t="s">
        <v>65</v>
      </c>
      <c r="O25" s="14" t="s">
        <v>120</v>
      </c>
    </row>
    <row r="26" customFormat="false" ht="23.85" hidden="false" customHeight="false" outlineLevel="0" collapsed="false">
      <c r="A26" s="13" t="n">
        <v>24</v>
      </c>
      <c r="B26" s="13" t="s">
        <v>115</v>
      </c>
      <c r="C26" s="13" t="s">
        <v>124</v>
      </c>
      <c r="D26" s="14" t="s">
        <v>127</v>
      </c>
      <c r="E26" s="14" t="s">
        <v>128</v>
      </c>
      <c r="F26" s="13" t="s">
        <v>64</v>
      </c>
      <c r="G26" s="13" t="s">
        <v>118</v>
      </c>
      <c r="H26" s="15"/>
      <c r="I26" s="16" t="n">
        <f aca="false">Instruções!$B$4</f>
        <v>0.4</v>
      </c>
      <c r="J26" s="17" t="str">
        <f aca="false">IF(H26="","",H26*(1+I26))</f>
        <v/>
      </c>
      <c r="K26" s="17"/>
      <c r="L26" s="18"/>
      <c r="M26" s="18"/>
      <c r="N26" s="13" t="s">
        <v>119</v>
      </c>
      <c r="O26" s="14" t="s">
        <v>129</v>
      </c>
    </row>
    <row r="27" customFormat="false" ht="15" hidden="false" customHeight="false" outlineLevel="0" collapsed="false">
      <c r="A27" s="13" t="n">
        <v>25</v>
      </c>
      <c r="B27" s="13" t="s">
        <v>130</v>
      </c>
      <c r="C27" s="13" t="s">
        <v>131</v>
      </c>
      <c r="D27" s="14" t="s">
        <v>132</v>
      </c>
      <c r="E27" s="14" t="s">
        <v>133</v>
      </c>
      <c r="F27" s="13" t="s">
        <v>134</v>
      </c>
      <c r="G27" s="13" t="s">
        <v>118</v>
      </c>
      <c r="H27" s="15"/>
      <c r="I27" s="16" t="n">
        <f aca="false">Instruções!$B$4</f>
        <v>0.4</v>
      </c>
      <c r="J27" s="17" t="str">
        <f aca="false">IF(H27="","",H27*(1+I27))</f>
        <v/>
      </c>
      <c r="K27" s="17" t="n">
        <v>19.8</v>
      </c>
      <c r="L27" s="18"/>
      <c r="M27" s="18"/>
      <c r="N27" s="13" t="s">
        <v>135</v>
      </c>
      <c r="O27" s="14" t="s">
        <v>136</v>
      </c>
    </row>
    <row r="28" customFormat="false" ht="15" hidden="false" customHeight="false" outlineLevel="0" collapsed="false">
      <c r="A28" s="13" t="n">
        <v>26</v>
      </c>
      <c r="B28" s="13" t="s">
        <v>130</v>
      </c>
      <c r="C28" s="13" t="s">
        <v>137</v>
      </c>
      <c r="D28" s="14" t="s">
        <v>138</v>
      </c>
      <c r="E28" s="14" t="s">
        <v>139</v>
      </c>
      <c r="F28" s="13" t="s">
        <v>140</v>
      </c>
      <c r="G28" s="13" t="s">
        <v>118</v>
      </c>
      <c r="H28" s="15"/>
      <c r="I28" s="16" t="n">
        <f aca="false">Instruções!$B$4</f>
        <v>0.4</v>
      </c>
      <c r="J28" s="17" t="str">
        <f aca="false">IF(H28="","",H28*(1+I28))</f>
        <v/>
      </c>
      <c r="K28" s="17"/>
      <c r="L28" s="18"/>
      <c r="M28" s="18"/>
      <c r="N28" s="13" t="s">
        <v>65</v>
      </c>
      <c r="O28" s="14"/>
    </row>
    <row r="29" customFormat="false" ht="15" hidden="false" customHeight="false" outlineLevel="0" collapsed="false">
      <c r="A29" s="13" t="n">
        <v>27</v>
      </c>
      <c r="B29" s="13" t="s">
        <v>130</v>
      </c>
      <c r="C29" s="13" t="s">
        <v>137</v>
      </c>
      <c r="D29" s="14" t="s">
        <v>138</v>
      </c>
      <c r="E29" s="14" t="s">
        <v>141</v>
      </c>
      <c r="F29" s="13" t="s">
        <v>140</v>
      </c>
      <c r="G29" s="13" t="s">
        <v>118</v>
      </c>
      <c r="H29" s="15"/>
      <c r="I29" s="16" t="n">
        <f aca="false">Instruções!$B$4</f>
        <v>0.4</v>
      </c>
      <c r="J29" s="17" t="str">
        <f aca="false">IF(H29="","",H29*(1+I29))</f>
        <v/>
      </c>
      <c r="K29" s="17"/>
      <c r="L29" s="18"/>
      <c r="M29" s="18"/>
      <c r="N29" s="13" t="s">
        <v>65</v>
      </c>
      <c r="O29" s="14"/>
    </row>
    <row r="30" customFormat="false" ht="15" hidden="false" customHeight="false" outlineLevel="0" collapsed="false">
      <c r="A30" s="13" t="n">
        <v>28</v>
      </c>
      <c r="B30" s="13" t="s">
        <v>130</v>
      </c>
      <c r="C30" s="13" t="s">
        <v>142</v>
      </c>
      <c r="D30" s="14" t="s">
        <v>143</v>
      </c>
      <c r="E30" s="14" t="s">
        <v>144</v>
      </c>
      <c r="F30" s="13" t="s">
        <v>145</v>
      </c>
      <c r="G30" s="13" t="s">
        <v>118</v>
      </c>
      <c r="H30" s="15"/>
      <c r="I30" s="16" t="n">
        <f aca="false">Instruções!$B$4</f>
        <v>0.4</v>
      </c>
      <c r="J30" s="17" t="str">
        <f aca="false">IF(H30="","",H30*(1+I30))</f>
        <v/>
      </c>
      <c r="K30" s="17" t="n">
        <v>18</v>
      </c>
      <c r="L30" s="18"/>
      <c r="M30" s="18"/>
      <c r="N30" s="13" t="s">
        <v>146</v>
      </c>
      <c r="O30" s="14"/>
    </row>
    <row r="31" customFormat="false" ht="15" hidden="false" customHeight="false" outlineLevel="0" collapsed="false">
      <c r="A31" s="13" t="n">
        <v>29</v>
      </c>
      <c r="B31" s="13" t="s">
        <v>130</v>
      </c>
      <c r="C31" s="13" t="s">
        <v>142</v>
      </c>
      <c r="D31" s="14" t="s">
        <v>143</v>
      </c>
      <c r="E31" s="14" t="s">
        <v>147</v>
      </c>
      <c r="F31" s="13" t="s">
        <v>145</v>
      </c>
      <c r="G31" s="13" t="s">
        <v>118</v>
      </c>
      <c r="H31" s="15"/>
      <c r="I31" s="16" t="n">
        <f aca="false">Instruções!$B$4</f>
        <v>0.4</v>
      </c>
      <c r="J31" s="17" t="str">
        <f aca="false">IF(H31="","",H31*(1+I31))</f>
        <v/>
      </c>
      <c r="K31" s="17" t="n">
        <v>18</v>
      </c>
      <c r="L31" s="18"/>
      <c r="M31" s="18"/>
      <c r="N31" s="13" t="s">
        <v>146</v>
      </c>
      <c r="O31" s="14"/>
    </row>
    <row r="32" customFormat="false" ht="15" hidden="false" customHeight="false" outlineLevel="0" collapsed="false">
      <c r="A32" s="13" t="n">
        <v>30</v>
      </c>
      <c r="B32" s="13" t="s">
        <v>148</v>
      </c>
      <c r="C32" s="13" t="s">
        <v>149</v>
      </c>
      <c r="D32" s="14" t="s">
        <v>150</v>
      </c>
      <c r="E32" s="14" t="s">
        <v>151</v>
      </c>
      <c r="F32" s="13" t="s">
        <v>152</v>
      </c>
      <c r="G32" s="13" t="s">
        <v>153</v>
      </c>
      <c r="H32" s="15"/>
      <c r="I32" s="16" t="n">
        <f aca="false">Instruções!$B$4</f>
        <v>0.4</v>
      </c>
      <c r="J32" s="17" t="str">
        <f aca="false">IF(H32="","",H32*(1+I32))</f>
        <v/>
      </c>
      <c r="K32" s="17" t="n">
        <v>28.5</v>
      </c>
      <c r="L32" s="18"/>
      <c r="M32" s="18"/>
      <c r="N32" s="13" t="s">
        <v>135</v>
      </c>
      <c r="O32" s="14"/>
    </row>
    <row r="33" customFormat="false" ht="23.85" hidden="false" customHeight="false" outlineLevel="0" collapsed="false">
      <c r="A33" s="13" t="n">
        <v>31</v>
      </c>
      <c r="B33" s="13" t="s">
        <v>148</v>
      </c>
      <c r="C33" s="13" t="s">
        <v>154</v>
      </c>
      <c r="D33" s="14" t="s">
        <v>155</v>
      </c>
      <c r="E33" s="14" t="s">
        <v>156</v>
      </c>
      <c r="F33" s="13" t="s">
        <v>64</v>
      </c>
      <c r="G33" s="13" t="s">
        <v>157</v>
      </c>
      <c r="H33" s="15"/>
      <c r="I33" s="16" t="n">
        <f aca="false">Instruções!$B$4</f>
        <v>0.4</v>
      </c>
      <c r="J33" s="17" t="str">
        <f aca="false">IF(H33="","",H33*(1+I33))</f>
        <v/>
      </c>
      <c r="K33" s="17"/>
      <c r="L33" s="18"/>
      <c r="M33" s="18"/>
      <c r="N33" s="13" t="s">
        <v>146</v>
      </c>
      <c r="O33" s="14" t="s">
        <v>158</v>
      </c>
    </row>
    <row r="34" customFormat="false" ht="15" hidden="false" customHeight="false" outlineLevel="0" collapsed="false">
      <c r="A34" s="13" t="n">
        <v>32</v>
      </c>
      <c r="B34" s="13" t="s">
        <v>159</v>
      </c>
      <c r="C34" s="13" t="s">
        <v>160</v>
      </c>
      <c r="D34" s="14" t="s">
        <v>161</v>
      </c>
      <c r="E34" s="14" t="s">
        <v>162</v>
      </c>
      <c r="F34" s="13" t="s">
        <v>163</v>
      </c>
      <c r="G34" s="13" t="s">
        <v>164</v>
      </c>
      <c r="H34" s="15"/>
      <c r="I34" s="16" t="n">
        <f aca="false">Instruções!$B$4</f>
        <v>0.4</v>
      </c>
      <c r="J34" s="17" t="str">
        <f aca="false">IF(H34="","",H34*(1+I34))</f>
        <v/>
      </c>
      <c r="K34" s="17"/>
      <c r="L34" s="18"/>
      <c r="M34" s="18"/>
      <c r="N34" s="13" t="s">
        <v>165</v>
      </c>
      <c r="O34" s="14" t="s">
        <v>166</v>
      </c>
    </row>
    <row r="35" customFormat="false" ht="15" hidden="false" customHeight="false" outlineLevel="0" collapsed="false">
      <c r="A35" s="13" t="n">
        <v>33</v>
      </c>
      <c r="B35" s="13" t="s">
        <v>159</v>
      </c>
      <c r="C35" s="13" t="s">
        <v>160</v>
      </c>
      <c r="D35" s="14" t="s">
        <v>167</v>
      </c>
      <c r="E35" s="14" t="s">
        <v>162</v>
      </c>
      <c r="F35" s="13" t="s">
        <v>168</v>
      </c>
      <c r="G35" s="13" t="s">
        <v>164</v>
      </c>
      <c r="H35" s="15"/>
      <c r="I35" s="16" t="n">
        <f aca="false">Instruções!$B$4</f>
        <v>0.4</v>
      </c>
      <c r="J35" s="17" t="str">
        <f aca="false">IF(H35="","",H35*(1+I35))</f>
        <v/>
      </c>
      <c r="K35" s="17"/>
      <c r="L35" s="18"/>
      <c r="M35" s="18"/>
      <c r="N35" s="13" t="s">
        <v>165</v>
      </c>
      <c r="O35" s="14"/>
    </row>
    <row r="36" customFormat="false" ht="15" hidden="false" customHeight="false" outlineLevel="0" collapsed="false">
      <c r="A36" s="13" t="n">
        <v>34</v>
      </c>
      <c r="B36" s="13" t="s">
        <v>159</v>
      </c>
      <c r="C36" s="13" t="s">
        <v>160</v>
      </c>
      <c r="D36" s="14" t="s">
        <v>169</v>
      </c>
      <c r="E36" s="14" t="s">
        <v>170</v>
      </c>
      <c r="F36" s="13" t="s">
        <v>163</v>
      </c>
      <c r="G36" s="13" t="s">
        <v>171</v>
      </c>
      <c r="H36" s="15"/>
      <c r="I36" s="16" t="n">
        <f aca="false">Instruções!$B$4</f>
        <v>0.4</v>
      </c>
      <c r="J36" s="17" t="str">
        <f aca="false">IF(H36="","",H36*(1+I36))</f>
        <v/>
      </c>
      <c r="K36" s="17"/>
      <c r="L36" s="18"/>
      <c r="M36" s="18"/>
      <c r="N36" s="13" t="s">
        <v>165</v>
      </c>
      <c r="O36" s="14" t="s">
        <v>172</v>
      </c>
    </row>
    <row r="37" customFormat="false" ht="23.85" hidden="false" customHeight="false" outlineLevel="0" collapsed="false">
      <c r="A37" s="13" t="n">
        <v>35</v>
      </c>
      <c r="B37" s="13" t="s">
        <v>159</v>
      </c>
      <c r="C37" s="13" t="s">
        <v>160</v>
      </c>
      <c r="D37" s="14" t="s">
        <v>173</v>
      </c>
      <c r="E37" s="14" t="s">
        <v>174</v>
      </c>
      <c r="F37" s="13" t="s">
        <v>168</v>
      </c>
      <c r="G37" s="13" t="s">
        <v>164</v>
      </c>
      <c r="H37" s="15"/>
      <c r="I37" s="16" t="n">
        <f aca="false">Instruções!$B$4</f>
        <v>0.4</v>
      </c>
      <c r="J37" s="17" t="str">
        <f aca="false">IF(H37="","",H37*(1+I37))</f>
        <v/>
      </c>
      <c r="K37" s="17" t="n">
        <v>35</v>
      </c>
      <c r="L37" s="18"/>
      <c r="M37" s="18"/>
      <c r="N37" s="13" t="s">
        <v>175</v>
      </c>
      <c r="O37" s="14" t="s">
        <v>176</v>
      </c>
    </row>
    <row r="38" customFormat="false" ht="23.85" hidden="false" customHeight="false" outlineLevel="0" collapsed="false">
      <c r="A38" s="13" t="n">
        <v>36</v>
      </c>
      <c r="B38" s="13" t="s">
        <v>159</v>
      </c>
      <c r="C38" s="13" t="s">
        <v>160</v>
      </c>
      <c r="D38" s="14" t="s">
        <v>177</v>
      </c>
      <c r="E38" s="14" t="s">
        <v>178</v>
      </c>
      <c r="F38" s="13" t="s">
        <v>168</v>
      </c>
      <c r="G38" s="13" t="s">
        <v>164</v>
      </c>
      <c r="H38" s="15"/>
      <c r="I38" s="16" t="n">
        <f aca="false">Instruções!$B$4</f>
        <v>0.4</v>
      </c>
      <c r="J38" s="17" t="str">
        <f aca="false">IF(H38="","",H38*(1+I38))</f>
        <v/>
      </c>
      <c r="K38" s="17"/>
      <c r="L38" s="18"/>
      <c r="M38" s="18"/>
      <c r="N38" s="13" t="s">
        <v>175</v>
      </c>
      <c r="O38" s="14"/>
    </row>
    <row r="39" customFormat="false" ht="15" hidden="false" customHeight="false" outlineLevel="0" collapsed="false">
      <c r="A39" s="13" t="n">
        <v>37</v>
      </c>
      <c r="B39" s="13" t="s">
        <v>159</v>
      </c>
      <c r="C39" s="13" t="s">
        <v>160</v>
      </c>
      <c r="D39" s="14" t="s">
        <v>179</v>
      </c>
      <c r="E39" s="14" t="s">
        <v>180</v>
      </c>
      <c r="F39" s="13" t="s">
        <v>181</v>
      </c>
      <c r="G39" s="13" t="s">
        <v>164</v>
      </c>
      <c r="H39" s="15"/>
      <c r="I39" s="16" t="n">
        <f aca="false">Instruções!$B$4</f>
        <v>0.4</v>
      </c>
      <c r="J39" s="17" t="str">
        <f aca="false">IF(H39="","",H39*(1+I39))</f>
        <v/>
      </c>
      <c r="K39" s="17"/>
      <c r="L39" s="18"/>
      <c r="M39" s="18"/>
      <c r="N39" s="13" t="s">
        <v>175</v>
      </c>
      <c r="O39" s="14"/>
    </row>
    <row r="40" customFormat="false" ht="15" hidden="false" customHeight="false" outlineLevel="0" collapsed="false">
      <c r="A40" s="13" t="n">
        <v>38</v>
      </c>
      <c r="B40" s="13" t="s">
        <v>159</v>
      </c>
      <c r="C40" s="13" t="s">
        <v>160</v>
      </c>
      <c r="D40" s="14" t="s">
        <v>182</v>
      </c>
      <c r="E40" s="14" t="s">
        <v>183</v>
      </c>
      <c r="F40" s="13" t="s">
        <v>181</v>
      </c>
      <c r="G40" s="13" t="s">
        <v>164</v>
      </c>
      <c r="H40" s="15"/>
      <c r="I40" s="16" t="n">
        <f aca="false">Instruções!$B$4</f>
        <v>0.4</v>
      </c>
      <c r="J40" s="17" t="str">
        <f aca="false">IF(H40="","",H40*(1+I40))</f>
        <v/>
      </c>
      <c r="K40" s="17"/>
      <c r="L40" s="18"/>
      <c r="M40" s="18"/>
      <c r="N40" s="13" t="s">
        <v>165</v>
      </c>
      <c r="O40" s="14"/>
    </row>
    <row r="41" customFormat="false" ht="15" hidden="false" customHeight="false" outlineLevel="0" collapsed="false">
      <c r="A41" s="13" t="n">
        <v>39</v>
      </c>
      <c r="B41" s="13" t="s">
        <v>159</v>
      </c>
      <c r="C41" s="13" t="s">
        <v>160</v>
      </c>
      <c r="D41" s="14" t="s">
        <v>184</v>
      </c>
      <c r="E41" s="14" t="s">
        <v>185</v>
      </c>
      <c r="F41" s="13" t="s">
        <v>168</v>
      </c>
      <c r="G41" s="13" t="s">
        <v>164</v>
      </c>
      <c r="H41" s="15"/>
      <c r="I41" s="16" t="n">
        <f aca="false">Instruções!$B$4</f>
        <v>0.4</v>
      </c>
      <c r="J41" s="17" t="str">
        <f aca="false">IF(H41="","",H41*(1+I41))</f>
        <v/>
      </c>
      <c r="K41" s="17"/>
      <c r="L41" s="18"/>
      <c r="M41" s="18"/>
      <c r="N41" s="13" t="s">
        <v>186</v>
      </c>
      <c r="O41" s="14"/>
    </row>
    <row r="42" customFormat="false" ht="15" hidden="false" customHeight="false" outlineLevel="0" collapsed="false">
      <c r="A42" s="13" t="n">
        <v>40</v>
      </c>
      <c r="B42" s="13" t="s">
        <v>187</v>
      </c>
      <c r="C42" s="13" t="s">
        <v>160</v>
      </c>
      <c r="D42" s="14" t="s">
        <v>188</v>
      </c>
      <c r="E42" s="14" t="s">
        <v>189</v>
      </c>
      <c r="F42" s="13" t="s">
        <v>168</v>
      </c>
      <c r="G42" s="13" t="s">
        <v>164</v>
      </c>
      <c r="H42" s="15"/>
      <c r="I42" s="16" t="n">
        <f aca="false">Instruções!$B$4</f>
        <v>0.4</v>
      </c>
      <c r="J42" s="17" t="str">
        <f aca="false">IF(H42="","",H42*(1+I42))</f>
        <v/>
      </c>
      <c r="K42" s="17"/>
      <c r="L42" s="18"/>
      <c r="M42" s="18"/>
      <c r="N42" s="13" t="s">
        <v>186</v>
      </c>
      <c r="O42" s="14"/>
    </row>
    <row r="43" customFormat="false" ht="15" hidden="false" customHeight="false" outlineLevel="0" collapsed="false">
      <c r="A43" s="13" t="n">
        <v>41</v>
      </c>
      <c r="B43" s="13" t="s">
        <v>190</v>
      </c>
      <c r="C43" s="13" t="s">
        <v>160</v>
      </c>
      <c r="D43" s="14" t="s">
        <v>191</v>
      </c>
      <c r="E43" s="14" t="s">
        <v>192</v>
      </c>
      <c r="F43" s="13" t="s">
        <v>64</v>
      </c>
      <c r="G43" s="13" t="s">
        <v>164</v>
      </c>
      <c r="H43" s="15"/>
      <c r="I43" s="16" t="n">
        <f aca="false">Instruções!$B$4</f>
        <v>0.4</v>
      </c>
      <c r="J43" s="17" t="str">
        <f aca="false">IF(H43="","",H43*(1+I43))</f>
        <v/>
      </c>
      <c r="K43" s="17" t="n">
        <v>48</v>
      </c>
      <c r="L43" s="18"/>
      <c r="M43" s="18"/>
      <c r="N43" s="13" t="s">
        <v>186</v>
      </c>
      <c r="O43" s="14" t="s">
        <v>193</v>
      </c>
    </row>
    <row r="44" customFormat="false" ht="15" hidden="false" customHeight="false" outlineLevel="0" collapsed="false">
      <c r="A44" s="13" t="n">
        <v>42</v>
      </c>
      <c r="B44" s="13" t="s">
        <v>190</v>
      </c>
      <c r="C44" s="13" t="s">
        <v>160</v>
      </c>
      <c r="D44" s="14" t="s">
        <v>194</v>
      </c>
      <c r="E44" s="14" t="s">
        <v>195</v>
      </c>
      <c r="F44" s="13" t="s">
        <v>64</v>
      </c>
      <c r="G44" s="13" t="s">
        <v>164</v>
      </c>
      <c r="H44" s="15"/>
      <c r="I44" s="16" t="n">
        <f aca="false">Instruções!$B$4</f>
        <v>0.4</v>
      </c>
      <c r="J44" s="17" t="str">
        <f aca="false">IF(H44="","",H44*(1+I44))</f>
        <v/>
      </c>
      <c r="K44" s="17"/>
      <c r="L44" s="18"/>
      <c r="M44" s="18"/>
      <c r="N44" s="13" t="s">
        <v>186</v>
      </c>
      <c r="O44" s="14" t="s">
        <v>196</v>
      </c>
    </row>
    <row r="45" customFormat="false" ht="15" hidden="false" customHeight="false" outlineLevel="0" collapsed="false">
      <c r="A45" s="13" t="n">
        <v>43</v>
      </c>
      <c r="B45" s="13" t="s">
        <v>197</v>
      </c>
      <c r="C45" s="13" t="s">
        <v>160</v>
      </c>
      <c r="D45" s="14" t="s">
        <v>198</v>
      </c>
      <c r="E45" s="14" t="s">
        <v>199</v>
      </c>
      <c r="F45" s="13" t="s">
        <v>200</v>
      </c>
      <c r="G45" s="13" t="s">
        <v>164</v>
      </c>
      <c r="H45" s="15"/>
      <c r="I45" s="16" t="n">
        <f aca="false">Instruções!$B$4</f>
        <v>0.4</v>
      </c>
      <c r="J45" s="17" t="str">
        <f aca="false">IF(H45="","",H45*(1+I45))</f>
        <v/>
      </c>
      <c r="K45" s="17"/>
      <c r="L45" s="18"/>
      <c r="M45" s="18"/>
      <c r="N45" s="13" t="s">
        <v>201</v>
      </c>
      <c r="O45" s="14" t="s">
        <v>202</v>
      </c>
    </row>
    <row r="46" customFormat="false" ht="15" hidden="false" customHeight="false" outlineLevel="0" collapsed="false">
      <c r="A46" s="13" t="n">
        <v>44</v>
      </c>
      <c r="B46" s="13" t="s">
        <v>197</v>
      </c>
      <c r="C46" s="13" t="s">
        <v>160</v>
      </c>
      <c r="D46" s="14" t="s">
        <v>203</v>
      </c>
      <c r="E46" s="14" t="s">
        <v>204</v>
      </c>
      <c r="F46" s="13" t="s">
        <v>205</v>
      </c>
      <c r="G46" s="13" t="s">
        <v>164</v>
      </c>
      <c r="H46" s="15"/>
      <c r="I46" s="16" t="n">
        <f aca="false">Instruções!$B$4</f>
        <v>0.4</v>
      </c>
      <c r="J46" s="17" t="str">
        <f aca="false">IF(H46="","",H46*(1+I46))</f>
        <v/>
      </c>
      <c r="K46" s="17"/>
      <c r="L46" s="18"/>
      <c r="M46" s="18"/>
      <c r="N46" s="13" t="s">
        <v>201</v>
      </c>
      <c r="O46" s="14" t="s">
        <v>202</v>
      </c>
    </row>
    <row r="47" customFormat="false" ht="15" hidden="false" customHeight="false" outlineLevel="0" collapsed="false">
      <c r="A47" s="13" t="n">
        <v>45</v>
      </c>
      <c r="B47" s="13" t="s">
        <v>197</v>
      </c>
      <c r="C47" s="13" t="s">
        <v>160</v>
      </c>
      <c r="D47" s="14" t="s">
        <v>206</v>
      </c>
      <c r="E47" s="14" t="s">
        <v>64</v>
      </c>
      <c r="F47" s="13" t="s">
        <v>200</v>
      </c>
      <c r="G47" s="13" t="s">
        <v>164</v>
      </c>
      <c r="H47" s="15"/>
      <c r="I47" s="16" t="n">
        <f aca="false">Instruções!$B$4</f>
        <v>0.4</v>
      </c>
      <c r="J47" s="17" t="str">
        <f aca="false">IF(H47="","",H47*(1+I47))</f>
        <v/>
      </c>
      <c r="K47" s="17"/>
      <c r="L47" s="18"/>
      <c r="M47" s="18"/>
      <c r="N47" s="13" t="s">
        <v>65</v>
      </c>
      <c r="O47" s="14"/>
    </row>
    <row r="48" customFormat="false" ht="15" hidden="false" customHeight="false" outlineLevel="0" collapsed="false">
      <c r="A48" s="13" t="n">
        <v>46</v>
      </c>
      <c r="B48" s="13" t="s">
        <v>197</v>
      </c>
      <c r="C48" s="13" t="s">
        <v>160</v>
      </c>
      <c r="D48" s="14" t="s">
        <v>207</v>
      </c>
      <c r="E48" s="14" t="s">
        <v>208</v>
      </c>
      <c r="F48" s="13" t="s">
        <v>64</v>
      </c>
      <c r="G48" s="13" t="s">
        <v>164</v>
      </c>
      <c r="H48" s="15"/>
      <c r="I48" s="16" t="n">
        <f aca="false">Instruções!$B$4</f>
        <v>0.4</v>
      </c>
      <c r="J48" s="17" t="str">
        <f aca="false">IF(H48="","",H48*(1+I48))</f>
        <v/>
      </c>
      <c r="K48" s="17"/>
      <c r="L48" s="18"/>
      <c r="M48" s="18"/>
      <c r="N48" s="13" t="s">
        <v>65</v>
      </c>
      <c r="O48" s="14" t="s">
        <v>209</v>
      </c>
    </row>
    <row r="49" customFormat="false" ht="15" hidden="false" customHeight="false" outlineLevel="0" collapsed="false">
      <c r="A49" s="13" t="n">
        <v>47</v>
      </c>
      <c r="B49" s="13" t="s">
        <v>210</v>
      </c>
      <c r="C49" s="13" t="s">
        <v>160</v>
      </c>
      <c r="D49" s="14" t="s">
        <v>211</v>
      </c>
      <c r="E49" s="14" t="s">
        <v>212</v>
      </c>
      <c r="F49" s="13" t="s">
        <v>64</v>
      </c>
      <c r="G49" s="13" t="s">
        <v>164</v>
      </c>
      <c r="H49" s="15"/>
      <c r="I49" s="16" t="n">
        <f aca="false">Instruções!$B$4</f>
        <v>0.4</v>
      </c>
      <c r="J49" s="17" t="str">
        <f aca="false">IF(H49="","",H49*(1+I49))</f>
        <v/>
      </c>
      <c r="K49" s="17"/>
      <c r="L49" s="18"/>
      <c r="M49" s="18"/>
      <c r="N49" s="13" t="s">
        <v>213</v>
      </c>
      <c r="O49" s="14"/>
    </row>
    <row r="50" customFormat="false" ht="15" hidden="false" customHeight="false" outlineLevel="0" collapsed="false">
      <c r="A50" s="13" t="n">
        <v>48</v>
      </c>
      <c r="B50" s="13" t="s">
        <v>210</v>
      </c>
      <c r="C50" s="13" t="s">
        <v>160</v>
      </c>
      <c r="D50" s="14" t="s">
        <v>214</v>
      </c>
      <c r="E50" s="14" t="s">
        <v>212</v>
      </c>
      <c r="F50" s="13" t="s">
        <v>64</v>
      </c>
      <c r="G50" s="13" t="s">
        <v>164</v>
      </c>
      <c r="H50" s="15"/>
      <c r="I50" s="16" t="n">
        <f aca="false">Instruções!$B$4</f>
        <v>0.4</v>
      </c>
      <c r="J50" s="17" t="str">
        <f aca="false">IF(H50="","",H50*(1+I50))</f>
        <v/>
      </c>
      <c r="K50" s="17"/>
      <c r="L50" s="18"/>
      <c r="M50" s="18"/>
      <c r="N50" s="13" t="s">
        <v>65</v>
      </c>
      <c r="O50" s="14"/>
    </row>
    <row r="51" customFormat="false" ht="23.85" hidden="false" customHeight="false" outlineLevel="0" collapsed="false">
      <c r="A51" s="13" t="n">
        <v>49</v>
      </c>
      <c r="B51" s="13" t="s">
        <v>215</v>
      </c>
      <c r="C51" s="13" t="s">
        <v>64</v>
      </c>
      <c r="D51" s="14" t="s">
        <v>216</v>
      </c>
      <c r="E51" s="14" t="s">
        <v>217</v>
      </c>
      <c r="F51" s="13" t="s">
        <v>218</v>
      </c>
      <c r="G51" s="13" t="s">
        <v>164</v>
      </c>
      <c r="H51" s="15"/>
      <c r="I51" s="16" t="n">
        <f aca="false">Instruções!$B$4</f>
        <v>0.4</v>
      </c>
      <c r="J51" s="17" t="str">
        <f aca="false">IF(H51="","",H51*(1+I51))</f>
        <v/>
      </c>
      <c r="K51" s="17" t="n">
        <v>18</v>
      </c>
      <c r="L51" s="18"/>
      <c r="M51" s="18"/>
      <c r="N51" s="13" t="s">
        <v>219</v>
      </c>
      <c r="O51" s="14" t="s">
        <v>220</v>
      </c>
    </row>
    <row r="52" customFormat="false" ht="23.85" hidden="false" customHeight="false" outlineLevel="0" collapsed="false">
      <c r="A52" s="13" t="n">
        <v>50</v>
      </c>
      <c r="B52" s="13" t="s">
        <v>215</v>
      </c>
      <c r="C52" s="13" t="s">
        <v>64</v>
      </c>
      <c r="D52" s="14" t="s">
        <v>221</v>
      </c>
      <c r="E52" s="14" t="s">
        <v>222</v>
      </c>
      <c r="F52" s="13" t="s">
        <v>64</v>
      </c>
      <c r="G52" s="13" t="s">
        <v>164</v>
      </c>
      <c r="H52" s="15"/>
      <c r="I52" s="16" t="n">
        <f aca="false">Instruções!$B$4</f>
        <v>0.4</v>
      </c>
      <c r="J52" s="17" t="str">
        <f aca="false">IF(H52="","",H52*(1+I52))</f>
        <v/>
      </c>
      <c r="K52" s="17" t="n">
        <v>15</v>
      </c>
      <c r="L52" s="18"/>
      <c r="M52" s="18"/>
      <c r="N52" s="13" t="s">
        <v>219</v>
      </c>
      <c r="O52" s="14" t="s">
        <v>223</v>
      </c>
    </row>
    <row r="53" customFormat="false" ht="23.85" hidden="false" customHeight="false" outlineLevel="0" collapsed="false">
      <c r="A53" s="13" t="n">
        <v>51</v>
      </c>
      <c r="B53" s="13" t="s">
        <v>215</v>
      </c>
      <c r="C53" s="13" t="s">
        <v>64</v>
      </c>
      <c r="D53" s="14" t="s">
        <v>224</v>
      </c>
      <c r="E53" s="14" t="s">
        <v>225</v>
      </c>
      <c r="F53" s="13" t="s">
        <v>64</v>
      </c>
      <c r="G53" s="13" t="s">
        <v>164</v>
      </c>
      <c r="H53" s="15"/>
      <c r="I53" s="16" t="n">
        <f aca="false">Instruções!$B$4</f>
        <v>0.4</v>
      </c>
      <c r="J53" s="17" t="str">
        <f aca="false">IF(H53="","",H53*(1+I53))</f>
        <v/>
      </c>
      <c r="K53" s="17" t="n">
        <v>23</v>
      </c>
      <c r="L53" s="18"/>
      <c r="M53" s="18"/>
      <c r="N53" s="13" t="s">
        <v>219</v>
      </c>
      <c r="O53" s="14" t="s">
        <v>226</v>
      </c>
    </row>
    <row r="54" customFormat="false" ht="23.85" hidden="false" customHeight="false" outlineLevel="0" collapsed="false">
      <c r="A54" s="13" t="n">
        <v>52</v>
      </c>
      <c r="B54" s="13" t="s">
        <v>215</v>
      </c>
      <c r="C54" s="13" t="s">
        <v>64</v>
      </c>
      <c r="D54" s="14" t="s">
        <v>227</v>
      </c>
      <c r="E54" s="14" t="s">
        <v>228</v>
      </c>
      <c r="F54" s="13" t="s">
        <v>229</v>
      </c>
      <c r="G54" s="13" t="s">
        <v>164</v>
      </c>
      <c r="H54" s="15"/>
      <c r="I54" s="16" t="n">
        <f aca="false">Instruções!$B$4</f>
        <v>0.4</v>
      </c>
      <c r="J54" s="17" t="str">
        <f aca="false">IF(H54="","",H54*(1+I54))</f>
        <v/>
      </c>
      <c r="K54" s="17" t="n">
        <v>25</v>
      </c>
      <c r="L54" s="18"/>
      <c r="M54" s="18"/>
      <c r="N54" s="13" t="s">
        <v>219</v>
      </c>
      <c r="O54" s="14" t="s">
        <v>223</v>
      </c>
    </row>
    <row r="55" customFormat="false" ht="15" hidden="false" customHeight="false" outlineLevel="0" collapsed="false">
      <c r="A55" s="13" t="n">
        <v>53</v>
      </c>
      <c r="B55" s="13" t="s">
        <v>215</v>
      </c>
      <c r="C55" s="13" t="s">
        <v>64</v>
      </c>
      <c r="D55" s="14" t="s">
        <v>230</v>
      </c>
      <c r="E55" s="14" t="s">
        <v>64</v>
      </c>
      <c r="F55" s="13" t="s">
        <v>64</v>
      </c>
      <c r="G55" s="13" t="s">
        <v>164</v>
      </c>
      <c r="H55" s="15"/>
      <c r="I55" s="16" t="n">
        <f aca="false">Instruções!$B$4</f>
        <v>0.4</v>
      </c>
      <c r="J55" s="17" t="str">
        <f aca="false">IF(H55="","",H55*(1+I55))</f>
        <v/>
      </c>
      <c r="K55" s="17"/>
      <c r="L55" s="18"/>
      <c r="M55" s="18"/>
      <c r="N55" s="13" t="s">
        <v>219</v>
      </c>
      <c r="O55" s="14" t="s">
        <v>231</v>
      </c>
    </row>
    <row r="56" customFormat="false" ht="23.85" hidden="false" customHeight="false" outlineLevel="0" collapsed="false">
      <c r="A56" s="13" t="n">
        <v>54</v>
      </c>
      <c r="B56" s="13" t="s">
        <v>215</v>
      </c>
      <c r="C56" s="13" t="s">
        <v>160</v>
      </c>
      <c r="D56" s="14" t="s">
        <v>232</v>
      </c>
      <c r="E56" s="14" t="s">
        <v>212</v>
      </c>
      <c r="F56" s="13" t="s">
        <v>64</v>
      </c>
      <c r="G56" s="13" t="s">
        <v>164</v>
      </c>
      <c r="H56" s="15"/>
      <c r="I56" s="16" t="n">
        <f aca="false">Instruções!$B$4</f>
        <v>0.4</v>
      </c>
      <c r="J56" s="17" t="str">
        <f aca="false">IF(H56="","",H56*(1+I56))</f>
        <v/>
      </c>
      <c r="K56" s="17"/>
      <c r="L56" s="18"/>
      <c r="M56" s="18"/>
      <c r="N56" s="13" t="s">
        <v>219</v>
      </c>
      <c r="O56" s="14" t="s">
        <v>233</v>
      </c>
    </row>
    <row r="57" customFormat="false" ht="15" hidden="false" customHeight="false" outlineLevel="0" collapsed="false">
      <c r="A57" s="13" t="n">
        <v>55</v>
      </c>
      <c r="B57" s="13" t="s">
        <v>197</v>
      </c>
      <c r="C57" s="13" t="s">
        <v>160</v>
      </c>
      <c r="D57" s="14" t="s">
        <v>234</v>
      </c>
      <c r="E57" s="14" t="s">
        <v>235</v>
      </c>
      <c r="F57" s="13" t="s">
        <v>64</v>
      </c>
      <c r="G57" s="13" t="s">
        <v>164</v>
      </c>
      <c r="H57" s="15"/>
      <c r="I57" s="16" t="n">
        <f aca="false">Instruções!$B$4</f>
        <v>0.4</v>
      </c>
      <c r="J57" s="17" t="str">
        <f aca="false">IF(H57="","",H57*(1+I57))</f>
        <v/>
      </c>
      <c r="K57" s="17"/>
      <c r="L57" s="18"/>
      <c r="M57" s="18"/>
      <c r="N57" s="13" t="s">
        <v>236</v>
      </c>
      <c r="O57" s="14" t="s">
        <v>237</v>
      </c>
    </row>
    <row r="58" customFormat="false" ht="23.85" hidden="false" customHeight="false" outlineLevel="0" collapsed="false">
      <c r="A58" s="13" t="n">
        <v>56</v>
      </c>
      <c r="B58" s="13" t="s">
        <v>197</v>
      </c>
      <c r="C58" s="13" t="s">
        <v>160</v>
      </c>
      <c r="D58" s="14" t="s">
        <v>238</v>
      </c>
      <c r="E58" s="14" t="s">
        <v>239</v>
      </c>
      <c r="F58" s="13" t="s">
        <v>163</v>
      </c>
      <c r="G58" s="13" t="s">
        <v>164</v>
      </c>
      <c r="H58" s="15"/>
      <c r="I58" s="16" t="n">
        <f aca="false">Instruções!$B$4</f>
        <v>0.4</v>
      </c>
      <c r="J58" s="17" t="str">
        <f aca="false">IF(H58="","",H58*(1+I58))</f>
        <v/>
      </c>
      <c r="K58" s="17" t="n">
        <v>100</v>
      </c>
      <c r="L58" s="18"/>
      <c r="M58" s="18"/>
      <c r="N58" s="13" t="s">
        <v>240</v>
      </c>
      <c r="O58" s="14" t="s">
        <v>241</v>
      </c>
    </row>
    <row r="59" customFormat="false" ht="23.85" hidden="false" customHeight="false" outlineLevel="0" collapsed="false">
      <c r="A59" s="13" t="n">
        <v>57</v>
      </c>
      <c r="B59" s="13" t="s">
        <v>159</v>
      </c>
      <c r="C59" s="13" t="s">
        <v>242</v>
      </c>
      <c r="D59" s="14" t="s">
        <v>243</v>
      </c>
      <c r="E59" s="14" t="s">
        <v>244</v>
      </c>
      <c r="F59" s="13" t="s">
        <v>168</v>
      </c>
      <c r="G59" s="13" t="s">
        <v>164</v>
      </c>
      <c r="H59" s="15"/>
      <c r="I59" s="16" t="n">
        <f aca="false">Instruções!$B$4</f>
        <v>0.4</v>
      </c>
      <c r="J59" s="17" t="str">
        <f aca="false">IF(H59="","",H59*(1+I59))</f>
        <v/>
      </c>
      <c r="K59" s="17" t="n">
        <v>28</v>
      </c>
      <c r="L59" s="18"/>
      <c r="M59" s="18"/>
      <c r="N59" s="13" t="s">
        <v>245</v>
      </c>
      <c r="O59" s="14"/>
    </row>
    <row r="60" customFormat="false" ht="15" hidden="false" customHeight="false" outlineLevel="0" collapsed="false">
      <c r="A60" s="13" t="n">
        <v>58</v>
      </c>
      <c r="B60" s="13" t="s">
        <v>187</v>
      </c>
      <c r="C60" s="13" t="s">
        <v>160</v>
      </c>
      <c r="D60" s="14" t="s">
        <v>246</v>
      </c>
      <c r="E60" s="14" t="s">
        <v>247</v>
      </c>
      <c r="F60" s="13" t="s">
        <v>168</v>
      </c>
      <c r="G60" s="13" t="s">
        <v>164</v>
      </c>
      <c r="H60" s="15"/>
      <c r="I60" s="16" t="n">
        <f aca="false">Instruções!$B$4</f>
        <v>0.4</v>
      </c>
      <c r="J60" s="17" t="str">
        <f aca="false">IF(H60="","",H60*(1+I60))</f>
        <v/>
      </c>
      <c r="K60" s="17" t="n">
        <v>7</v>
      </c>
      <c r="L60" s="18"/>
      <c r="M60" s="18"/>
      <c r="N60" s="13" t="s">
        <v>248</v>
      </c>
      <c r="O60" s="14" t="s">
        <v>249</v>
      </c>
    </row>
    <row r="61" customFormat="false" ht="15" hidden="false" customHeight="false" outlineLevel="0" collapsed="false">
      <c r="A61" s="13" t="n">
        <v>59</v>
      </c>
      <c r="B61" s="13" t="s">
        <v>187</v>
      </c>
      <c r="C61" s="13" t="s">
        <v>160</v>
      </c>
      <c r="D61" s="14" t="s">
        <v>250</v>
      </c>
      <c r="E61" s="14" t="s">
        <v>251</v>
      </c>
      <c r="F61" s="13" t="s">
        <v>168</v>
      </c>
      <c r="G61" s="13" t="s">
        <v>164</v>
      </c>
      <c r="H61" s="15"/>
      <c r="I61" s="16" t="n">
        <f aca="false">Instruções!$B$4</f>
        <v>0.4</v>
      </c>
      <c r="J61" s="17" t="str">
        <f aca="false">IF(H61="","",H61*(1+I61))</f>
        <v/>
      </c>
      <c r="K61" s="17"/>
      <c r="L61" s="18"/>
      <c r="M61" s="18"/>
      <c r="N61" s="13" t="s">
        <v>248</v>
      </c>
      <c r="O61" s="14" t="s">
        <v>252</v>
      </c>
    </row>
    <row r="62" customFormat="false" ht="23.85" hidden="false" customHeight="false" outlineLevel="0" collapsed="false">
      <c r="A62" s="13" t="n">
        <v>60</v>
      </c>
      <c r="B62" s="13" t="s">
        <v>253</v>
      </c>
      <c r="C62" s="13" t="s">
        <v>86</v>
      </c>
      <c r="D62" s="14" t="s">
        <v>254</v>
      </c>
      <c r="E62" s="14" t="s">
        <v>255</v>
      </c>
      <c r="F62" s="13" t="s">
        <v>256</v>
      </c>
      <c r="G62" s="13" t="s">
        <v>257</v>
      </c>
      <c r="H62" s="15"/>
      <c r="I62" s="16" t="n">
        <f aca="false">Instruções!$B$4</f>
        <v>0.4</v>
      </c>
      <c r="J62" s="17" t="str">
        <f aca="false">IF(H62="","",H62*(1+I62))</f>
        <v/>
      </c>
      <c r="K62" s="17" t="n">
        <v>25.2</v>
      </c>
      <c r="L62" s="18"/>
      <c r="M62" s="18"/>
      <c r="N62" s="13" t="s">
        <v>258</v>
      </c>
      <c r="O62" s="14" t="s">
        <v>259</v>
      </c>
    </row>
    <row r="63" customFormat="false" ht="15" hidden="false" customHeight="false" outlineLevel="0" collapsed="false">
      <c r="A63" s="13" t="n">
        <v>61</v>
      </c>
      <c r="B63" s="13" t="s">
        <v>260</v>
      </c>
      <c r="C63" s="13" t="s">
        <v>58</v>
      </c>
      <c r="D63" s="14" t="s">
        <v>261</v>
      </c>
      <c r="E63" s="14" t="s">
        <v>262</v>
      </c>
      <c r="F63" s="13" t="s">
        <v>263</v>
      </c>
      <c r="G63" s="13" t="s">
        <v>264</v>
      </c>
      <c r="H63" s="15"/>
      <c r="I63" s="16" t="n">
        <f aca="false">Instruções!$B$4</f>
        <v>0.4</v>
      </c>
      <c r="J63" s="17" t="str">
        <f aca="false">IF(H63="","",H63*(1+I63))</f>
        <v/>
      </c>
      <c r="K63" s="17" t="n">
        <v>3.7</v>
      </c>
      <c r="L63" s="18"/>
      <c r="M63" s="18"/>
      <c r="N63" s="13" t="s">
        <v>265</v>
      </c>
      <c r="O63" s="14"/>
    </row>
    <row r="64" customFormat="false" ht="15" hidden="false" customHeight="false" outlineLevel="0" collapsed="false">
      <c r="A64" s="13" t="n">
        <v>62</v>
      </c>
      <c r="B64" s="13" t="s">
        <v>260</v>
      </c>
      <c r="C64" s="13" t="s">
        <v>58</v>
      </c>
      <c r="D64" s="14" t="s">
        <v>261</v>
      </c>
      <c r="E64" s="14" t="s">
        <v>266</v>
      </c>
      <c r="F64" s="13" t="s">
        <v>263</v>
      </c>
      <c r="G64" s="13" t="s">
        <v>264</v>
      </c>
      <c r="H64" s="15"/>
      <c r="I64" s="16" t="n">
        <f aca="false">Instruções!$B$4</f>
        <v>0.4</v>
      </c>
      <c r="J64" s="17" t="str">
        <f aca="false">IF(H64="","",H64*(1+I64))</f>
        <v/>
      </c>
      <c r="K64" s="17" t="n">
        <v>3.7</v>
      </c>
      <c r="L64" s="18"/>
      <c r="M64" s="18"/>
      <c r="N64" s="13" t="s">
        <v>265</v>
      </c>
      <c r="O64" s="14"/>
    </row>
    <row r="65" customFormat="false" ht="15" hidden="false" customHeight="false" outlineLevel="0" collapsed="false">
      <c r="A65" s="13" t="n">
        <v>63</v>
      </c>
      <c r="B65" s="13" t="s">
        <v>260</v>
      </c>
      <c r="C65" s="13" t="s">
        <v>58</v>
      </c>
      <c r="D65" s="14" t="s">
        <v>261</v>
      </c>
      <c r="E65" s="14" t="s">
        <v>267</v>
      </c>
      <c r="F65" s="13" t="s">
        <v>263</v>
      </c>
      <c r="G65" s="13" t="s">
        <v>264</v>
      </c>
      <c r="H65" s="15"/>
      <c r="I65" s="16" t="n">
        <f aca="false">Instruções!$B$4</f>
        <v>0.4</v>
      </c>
      <c r="J65" s="17" t="str">
        <f aca="false">IF(H65="","",H65*(1+I65))</f>
        <v/>
      </c>
      <c r="K65" s="17" t="n">
        <v>3.7</v>
      </c>
      <c r="L65" s="18"/>
      <c r="M65" s="18"/>
      <c r="N65" s="13" t="s">
        <v>265</v>
      </c>
      <c r="O65" s="14"/>
    </row>
    <row r="66" customFormat="false" ht="15" hidden="false" customHeight="false" outlineLevel="0" collapsed="false">
      <c r="A66" s="13" t="n">
        <v>64</v>
      </c>
      <c r="B66" s="13" t="s">
        <v>260</v>
      </c>
      <c r="C66" s="13" t="s">
        <v>58</v>
      </c>
      <c r="D66" s="14" t="s">
        <v>261</v>
      </c>
      <c r="E66" s="14" t="s">
        <v>268</v>
      </c>
      <c r="F66" s="13" t="s">
        <v>263</v>
      </c>
      <c r="G66" s="13" t="s">
        <v>264</v>
      </c>
      <c r="H66" s="15"/>
      <c r="I66" s="16" t="n">
        <f aca="false">Instruções!$B$4</f>
        <v>0.4</v>
      </c>
      <c r="J66" s="17" t="str">
        <f aca="false">IF(H66="","",H66*(1+I66))</f>
        <v/>
      </c>
      <c r="K66" s="17" t="n">
        <v>3.7</v>
      </c>
      <c r="L66" s="18"/>
      <c r="M66" s="18"/>
      <c r="N66" s="13" t="s">
        <v>265</v>
      </c>
      <c r="O66" s="14"/>
    </row>
    <row r="67" customFormat="false" ht="15" hidden="false" customHeight="false" outlineLevel="0" collapsed="false">
      <c r="A67" s="13" t="n">
        <v>65</v>
      </c>
      <c r="B67" s="13" t="s">
        <v>260</v>
      </c>
      <c r="C67" s="13" t="s">
        <v>58</v>
      </c>
      <c r="D67" s="14" t="s">
        <v>269</v>
      </c>
      <c r="E67" s="14" t="s">
        <v>262</v>
      </c>
      <c r="F67" s="13" t="s">
        <v>263</v>
      </c>
      <c r="G67" s="13" t="s">
        <v>264</v>
      </c>
      <c r="H67" s="15"/>
      <c r="I67" s="16" t="n">
        <f aca="false">Instruções!$B$4</f>
        <v>0.4</v>
      </c>
      <c r="J67" s="17" t="str">
        <f aca="false">IF(H67="","",H67*(1+I67))</f>
        <v/>
      </c>
      <c r="K67" s="17" t="n">
        <v>3.7</v>
      </c>
      <c r="L67" s="18"/>
      <c r="M67" s="18"/>
      <c r="N67" s="13" t="s">
        <v>265</v>
      </c>
      <c r="O67" s="14"/>
    </row>
    <row r="68" customFormat="false" ht="23.85" hidden="false" customHeight="false" outlineLevel="0" collapsed="false">
      <c r="A68" s="13" t="n">
        <v>66</v>
      </c>
      <c r="B68" s="13" t="s">
        <v>260</v>
      </c>
      <c r="C68" s="13" t="s">
        <v>105</v>
      </c>
      <c r="D68" s="14" t="s">
        <v>270</v>
      </c>
      <c r="E68" s="14" t="s">
        <v>271</v>
      </c>
      <c r="F68" s="13" t="s">
        <v>272</v>
      </c>
      <c r="G68" s="13" t="s">
        <v>264</v>
      </c>
      <c r="H68" s="15"/>
      <c r="I68" s="16" t="n">
        <f aca="false">Instruções!$B$4</f>
        <v>0.4</v>
      </c>
      <c r="J68" s="17" t="str">
        <f aca="false">IF(H68="","",H68*(1+I68))</f>
        <v/>
      </c>
      <c r="K68" s="17" t="n">
        <v>3.7</v>
      </c>
      <c r="L68" s="18"/>
      <c r="M68" s="18"/>
      <c r="N68" s="13" t="s">
        <v>265</v>
      </c>
      <c r="O68" s="14"/>
    </row>
    <row r="69" customFormat="false" ht="15" hidden="false" customHeight="false" outlineLevel="0" collapsed="false">
      <c r="A69" s="13" t="n">
        <v>67</v>
      </c>
      <c r="B69" s="13" t="s">
        <v>260</v>
      </c>
      <c r="C69" s="13" t="s">
        <v>111</v>
      </c>
      <c r="D69" s="14" t="s">
        <v>273</v>
      </c>
      <c r="E69" s="14" t="s">
        <v>274</v>
      </c>
      <c r="F69" s="13" t="s">
        <v>272</v>
      </c>
      <c r="G69" s="13" t="s">
        <v>264</v>
      </c>
      <c r="H69" s="15"/>
      <c r="I69" s="16" t="n">
        <f aca="false">Instruções!$B$4</f>
        <v>0.4</v>
      </c>
      <c r="J69" s="17" t="str">
        <f aca="false">IF(H69="","",H69*(1+I69))</f>
        <v/>
      </c>
      <c r="K69" s="17" t="n">
        <v>3.7</v>
      </c>
      <c r="L69" s="18"/>
      <c r="M69" s="18"/>
      <c r="N69" s="13" t="s">
        <v>275</v>
      </c>
      <c r="O69" s="14"/>
    </row>
    <row r="70" customFormat="false" ht="15" hidden="false" customHeight="false" outlineLevel="0" collapsed="false">
      <c r="A70" s="13" t="n">
        <v>68</v>
      </c>
      <c r="B70" s="13" t="s">
        <v>260</v>
      </c>
      <c r="C70" s="13" t="s">
        <v>111</v>
      </c>
      <c r="D70" s="14" t="s">
        <v>273</v>
      </c>
      <c r="E70" s="14" t="s">
        <v>276</v>
      </c>
      <c r="F70" s="13" t="s">
        <v>272</v>
      </c>
      <c r="G70" s="13" t="s">
        <v>264</v>
      </c>
      <c r="H70" s="15"/>
      <c r="I70" s="16" t="n">
        <f aca="false">Instruções!$B$4</f>
        <v>0.4</v>
      </c>
      <c r="J70" s="17" t="str">
        <f aca="false">IF(H70="","",H70*(1+I70))</f>
        <v/>
      </c>
      <c r="K70" s="17" t="n">
        <v>3.7</v>
      </c>
      <c r="L70" s="18"/>
      <c r="M70" s="18"/>
      <c r="N70" s="13" t="s">
        <v>275</v>
      </c>
      <c r="O70" s="14"/>
    </row>
    <row r="71" customFormat="false" ht="15" hidden="false" customHeight="false" outlineLevel="0" collapsed="false">
      <c r="A71" s="13" t="n">
        <v>69</v>
      </c>
      <c r="B71" s="13" t="s">
        <v>260</v>
      </c>
      <c r="C71" s="13" t="s">
        <v>111</v>
      </c>
      <c r="D71" s="14" t="s">
        <v>273</v>
      </c>
      <c r="E71" s="14" t="s">
        <v>277</v>
      </c>
      <c r="F71" s="13" t="s">
        <v>272</v>
      </c>
      <c r="G71" s="13" t="s">
        <v>264</v>
      </c>
      <c r="H71" s="15"/>
      <c r="I71" s="16" t="n">
        <f aca="false">Instruções!$B$4</f>
        <v>0.4</v>
      </c>
      <c r="J71" s="17" t="str">
        <f aca="false">IF(H71="","",H71*(1+I71))</f>
        <v/>
      </c>
      <c r="K71" s="17" t="n">
        <v>3.7</v>
      </c>
      <c r="L71" s="18"/>
      <c r="M71" s="18"/>
      <c r="N71" s="13" t="s">
        <v>275</v>
      </c>
      <c r="O71" s="14"/>
    </row>
    <row r="72" customFormat="false" ht="23.85" hidden="false" customHeight="false" outlineLevel="0" collapsed="false">
      <c r="A72" s="13" t="n">
        <v>70</v>
      </c>
      <c r="B72" s="13" t="s">
        <v>260</v>
      </c>
      <c r="C72" s="13" t="s">
        <v>111</v>
      </c>
      <c r="D72" s="14" t="s">
        <v>273</v>
      </c>
      <c r="E72" s="14" t="s">
        <v>278</v>
      </c>
      <c r="F72" s="13" t="s">
        <v>272</v>
      </c>
      <c r="G72" s="13" t="s">
        <v>264</v>
      </c>
      <c r="H72" s="15"/>
      <c r="I72" s="16" t="n">
        <f aca="false">Instruções!$B$4</f>
        <v>0.4</v>
      </c>
      <c r="J72" s="17" t="str">
        <f aca="false">IF(H72="","",H72*(1+I72))</f>
        <v/>
      </c>
      <c r="K72" s="17" t="n">
        <v>3.7</v>
      </c>
      <c r="L72" s="18"/>
      <c r="M72" s="18"/>
      <c r="N72" s="13" t="s">
        <v>275</v>
      </c>
      <c r="O72" s="14"/>
    </row>
    <row r="73" customFormat="false" ht="23.85" hidden="false" customHeight="false" outlineLevel="0" collapsed="false">
      <c r="A73" s="13" t="n">
        <v>71</v>
      </c>
      <c r="B73" s="13" t="s">
        <v>260</v>
      </c>
      <c r="C73" s="13" t="s">
        <v>111</v>
      </c>
      <c r="D73" s="14" t="s">
        <v>273</v>
      </c>
      <c r="E73" s="14" t="s">
        <v>279</v>
      </c>
      <c r="F73" s="13" t="s">
        <v>272</v>
      </c>
      <c r="G73" s="13" t="s">
        <v>264</v>
      </c>
      <c r="H73" s="15"/>
      <c r="I73" s="16" t="n">
        <f aca="false">Instruções!$B$4</f>
        <v>0.4</v>
      </c>
      <c r="J73" s="17" t="str">
        <f aca="false">IF(H73="","",H73*(1+I73))</f>
        <v/>
      </c>
      <c r="K73" s="17" t="n">
        <v>3.7</v>
      </c>
      <c r="L73" s="18"/>
      <c r="M73" s="18"/>
      <c r="N73" s="13" t="s">
        <v>275</v>
      </c>
      <c r="O73" s="14"/>
    </row>
    <row r="74" customFormat="false" ht="23.85" hidden="false" customHeight="false" outlineLevel="0" collapsed="false">
      <c r="A74" s="13" t="n">
        <v>72</v>
      </c>
      <c r="B74" s="13" t="s">
        <v>260</v>
      </c>
      <c r="C74" s="13" t="s">
        <v>111</v>
      </c>
      <c r="D74" s="14" t="s">
        <v>273</v>
      </c>
      <c r="E74" s="14" t="s">
        <v>280</v>
      </c>
      <c r="F74" s="13" t="s">
        <v>272</v>
      </c>
      <c r="G74" s="13" t="s">
        <v>264</v>
      </c>
      <c r="H74" s="15"/>
      <c r="I74" s="16" t="n">
        <f aca="false">Instruções!$B$4</f>
        <v>0.4</v>
      </c>
      <c r="J74" s="17" t="str">
        <f aca="false">IF(H74="","",H74*(1+I74))</f>
        <v/>
      </c>
      <c r="K74" s="17" t="n">
        <v>3.7</v>
      </c>
      <c r="L74" s="18"/>
      <c r="M74" s="18"/>
      <c r="N74" s="13" t="s">
        <v>275</v>
      </c>
      <c r="O74" s="14"/>
    </row>
    <row r="75" customFormat="false" ht="15" hidden="false" customHeight="false" outlineLevel="0" collapsed="false">
      <c r="A75" s="13" t="n">
        <v>73</v>
      </c>
      <c r="B75" s="13" t="s">
        <v>260</v>
      </c>
      <c r="C75" s="13" t="s">
        <v>111</v>
      </c>
      <c r="D75" s="14" t="s">
        <v>273</v>
      </c>
      <c r="E75" s="14" t="s">
        <v>281</v>
      </c>
      <c r="F75" s="13" t="s">
        <v>272</v>
      </c>
      <c r="G75" s="13" t="s">
        <v>264</v>
      </c>
      <c r="H75" s="15"/>
      <c r="I75" s="16" t="n">
        <f aca="false">Instruções!$B$4</f>
        <v>0.4</v>
      </c>
      <c r="J75" s="17" t="str">
        <f aca="false">IF(H75="","",H75*(1+I75))</f>
        <v/>
      </c>
      <c r="K75" s="17" t="n">
        <v>3.7</v>
      </c>
      <c r="L75" s="18"/>
      <c r="M75" s="18"/>
      <c r="N75" s="13" t="s">
        <v>275</v>
      </c>
      <c r="O75" s="14"/>
    </row>
    <row r="76" customFormat="false" ht="15" hidden="false" customHeight="false" outlineLevel="0" collapsed="false">
      <c r="A76" s="13" t="n">
        <v>74</v>
      </c>
      <c r="B76" s="13" t="s">
        <v>260</v>
      </c>
      <c r="C76" s="13" t="s">
        <v>282</v>
      </c>
      <c r="D76" s="14" t="s">
        <v>283</v>
      </c>
      <c r="E76" s="14" t="s">
        <v>284</v>
      </c>
      <c r="F76" s="13" t="s">
        <v>285</v>
      </c>
      <c r="G76" s="13" t="s">
        <v>286</v>
      </c>
      <c r="H76" s="15"/>
      <c r="I76" s="16" t="n">
        <f aca="false">Instruções!$B$4</f>
        <v>0.4</v>
      </c>
      <c r="J76" s="17" t="str">
        <f aca="false">IF(H76="","",H76*(1+I76))</f>
        <v/>
      </c>
      <c r="K76" s="17" t="n">
        <v>15</v>
      </c>
      <c r="L76" s="18"/>
      <c r="M76" s="18"/>
      <c r="N76" s="13" t="s">
        <v>287</v>
      </c>
      <c r="O76" s="14"/>
    </row>
    <row r="77" customFormat="false" ht="15" hidden="false" customHeight="false" outlineLevel="0" collapsed="false">
      <c r="A77" s="13" t="n">
        <v>75</v>
      </c>
      <c r="B77" s="13" t="s">
        <v>260</v>
      </c>
      <c r="C77" s="13" t="s">
        <v>282</v>
      </c>
      <c r="D77" s="14" t="s">
        <v>283</v>
      </c>
      <c r="E77" s="14" t="s">
        <v>288</v>
      </c>
      <c r="F77" s="13" t="s">
        <v>285</v>
      </c>
      <c r="G77" s="13" t="s">
        <v>286</v>
      </c>
      <c r="H77" s="15"/>
      <c r="I77" s="16" t="n">
        <f aca="false">Instruções!$B$4</f>
        <v>0.4</v>
      </c>
      <c r="J77" s="17" t="str">
        <f aca="false">IF(H77="","",H77*(1+I77))</f>
        <v/>
      </c>
      <c r="K77" s="17" t="n">
        <v>15</v>
      </c>
      <c r="L77" s="18"/>
      <c r="M77" s="18"/>
      <c r="N77" s="13" t="s">
        <v>287</v>
      </c>
      <c r="O77" s="14"/>
    </row>
    <row r="78" customFormat="false" ht="15" hidden="false" customHeight="false" outlineLevel="0" collapsed="false">
      <c r="A78" s="13" t="n">
        <v>76</v>
      </c>
      <c r="B78" s="13" t="s">
        <v>289</v>
      </c>
      <c r="C78" s="13" t="s">
        <v>290</v>
      </c>
      <c r="D78" s="14" t="s">
        <v>291</v>
      </c>
      <c r="E78" s="14" t="s">
        <v>284</v>
      </c>
      <c r="F78" s="13" t="s">
        <v>292</v>
      </c>
      <c r="G78" s="13" t="s">
        <v>286</v>
      </c>
      <c r="H78" s="15"/>
      <c r="I78" s="16" t="n">
        <f aca="false">Instruções!$B$4</f>
        <v>0.4</v>
      </c>
      <c r="J78" s="17" t="str">
        <f aca="false">IF(H78="","",H78*(1+I78))</f>
        <v/>
      </c>
      <c r="K78" s="17" t="n">
        <v>15</v>
      </c>
      <c r="L78" s="18"/>
      <c r="M78" s="18"/>
      <c r="N78" s="13" t="s">
        <v>287</v>
      </c>
      <c r="O78" s="14"/>
    </row>
    <row r="79" customFormat="false" ht="15" hidden="false" customHeight="false" outlineLevel="0" collapsed="false">
      <c r="A79" s="13" t="n">
        <v>77</v>
      </c>
      <c r="B79" s="13" t="s">
        <v>289</v>
      </c>
      <c r="C79" s="13" t="s">
        <v>290</v>
      </c>
      <c r="D79" s="14" t="s">
        <v>291</v>
      </c>
      <c r="E79" s="14" t="s">
        <v>293</v>
      </c>
      <c r="F79" s="13" t="s">
        <v>292</v>
      </c>
      <c r="G79" s="13" t="s">
        <v>286</v>
      </c>
      <c r="H79" s="15"/>
      <c r="I79" s="16" t="n">
        <f aca="false">Instruções!$B$4</f>
        <v>0.4</v>
      </c>
      <c r="J79" s="17" t="str">
        <f aca="false">IF(H79="","",H79*(1+I79))</f>
        <v/>
      </c>
      <c r="K79" s="17" t="n">
        <v>15</v>
      </c>
      <c r="L79" s="18"/>
      <c r="M79" s="18"/>
      <c r="N79" s="13" t="s">
        <v>287</v>
      </c>
      <c r="O79" s="14"/>
    </row>
    <row r="80" customFormat="false" ht="15" hidden="false" customHeight="false" outlineLevel="0" collapsed="false">
      <c r="A80" s="13" t="n">
        <v>78</v>
      </c>
      <c r="B80" s="13" t="s">
        <v>115</v>
      </c>
      <c r="C80" s="13" t="s">
        <v>124</v>
      </c>
      <c r="D80" s="14" t="s">
        <v>294</v>
      </c>
      <c r="E80" s="14" t="s">
        <v>295</v>
      </c>
      <c r="F80" s="13" t="s">
        <v>64</v>
      </c>
      <c r="G80" s="13" t="s">
        <v>118</v>
      </c>
      <c r="H80" s="15"/>
      <c r="I80" s="16" t="n">
        <f aca="false">Instruções!$B$4</f>
        <v>0.4</v>
      </c>
      <c r="J80" s="17" t="str">
        <f aca="false">IF(H80="","",H80*(1+I80))</f>
        <v/>
      </c>
      <c r="K80" s="17" t="n">
        <v>6.4</v>
      </c>
      <c r="L80" s="18"/>
      <c r="M80" s="18"/>
      <c r="N80" s="13" t="s">
        <v>296</v>
      </c>
      <c r="O80" s="14" t="s">
        <v>297</v>
      </c>
    </row>
    <row r="81" customFormat="false" ht="23.85" hidden="false" customHeight="false" outlineLevel="0" collapsed="false">
      <c r="A81" s="13" t="n">
        <v>79</v>
      </c>
      <c r="B81" s="13" t="s">
        <v>115</v>
      </c>
      <c r="C81" s="13" t="s">
        <v>298</v>
      </c>
      <c r="D81" s="14" t="s">
        <v>299</v>
      </c>
      <c r="E81" s="14" t="s">
        <v>69</v>
      </c>
      <c r="F81" s="13" t="s">
        <v>64</v>
      </c>
      <c r="G81" s="13" t="s">
        <v>118</v>
      </c>
      <c r="H81" s="15"/>
      <c r="I81" s="16" t="n">
        <f aca="false">Instruções!$B$4</f>
        <v>0.4</v>
      </c>
      <c r="J81" s="17" t="str">
        <f aca="false">IF(H81="","",H81*(1+I81))</f>
        <v/>
      </c>
      <c r="K81" s="17" t="n">
        <v>4.5</v>
      </c>
      <c r="L81" s="18"/>
      <c r="M81" s="18"/>
      <c r="N81" s="13" t="s">
        <v>300</v>
      </c>
      <c r="O81" s="14" t="s">
        <v>301</v>
      </c>
    </row>
    <row r="82" customFormat="false" ht="15" hidden="false" customHeight="false" outlineLevel="0" collapsed="false">
      <c r="A82" s="13" t="n">
        <v>80</v>
      </c>
      <c r="B82" s="13" t="s">
        <v>115</v>
      </c>
      <c r="C82" s="13" t="s">
        <v>302</v>
      </c>
      <c r="D82" s="14" t="s">
        <v>303</v>
      </c>
      <c r="E82" s="14" t="s">
        <v>69</v>
      </c>
      <c r="F82" s="13" t="s">
        <v>304</v>
      </c>
      <c r="G82" s="13" t="s">
        <v>118</v>
      </c>
      <c r="H82" s="15"/>
      <c r="I82" s="16" t="n">
        <f aca="false">Instruções!$B$4</f>
        <v>0.4</v>
      </c>
      <c r="J82" s="17" t="str">
        <f aca="false">IF(H82="","",H82*(1+I82))</f>
        <v/>
      </c>
      <c r="K82" s="17" t="n">
        <v>9.5</v>
      </c>
      <c r="L82" s="18"/>
      <c r="M82" s="18"/>
      <c r="N82" s="13" t="s">
        <v>300</v>
      </c>
      <c r="O82" s="14"/>
    </row>
    <row r="83" customFormat="false" ht="15" hidden="false" customHeight="false" outlineLevel="0" collapsed="false">
      <c r="A83" s="13" t="n">
        <v>81</v>
      </c>
      <c r="B83" s="13" t="s">
        <v>115</v>
      </c>
      <c r="C83" s="13" t="s">
        <v>64</v>
      </c>
      <c r="D83" s="14" t="s">
        <v>305</v>
      </c>
      <c r="E83" s="14" t="s">
        <v>64</v>
      </c>
      <c r="F83" s="13" t="s">
        <v>64</v>
      </c>
      <c r="G83" s="13" t="s">
        <v>118</v>
      </c>
      <c r="H83" s="15"/>
      <c r="I83" s="16" t="n">
        <f aca="false">Instruções!$B$4</f>
        <v>0.4</v>
      </c>
      <c r="J83" s="17" t="str">
        <f aca="false">IF(H83="","",H83*(1+I83))</f>
        <v/>
      </c>
      <c r="K83" s="17"/>
      <c r="L83" s="18"/>
      <c r="M83" s="18"/>
      <c r="N83" s="13" t="s">
        <v>300</v>
      </c>
      <c r="O83" s="14" t="s">
        <v>306</v>
      </c>
    </row>
    <row r="84" customFormat="false" ht="23.85" hidden="false" customHeight="false" outlineLevel="0" collapsed="false">
      <c r="A84" s="13" t="n">
        <v>82</v>
      </c>
      <c r="B84" s="13" t="s">
        <v>289</v>
      </c>
      <c r="C84" s="13" t="s">
        <v>58</v>
      </c>
      <c r="D84" s="14" t="s">
        <v>307</v>
      </c>
      <c r="E84" s="14" t="s">
        <v>308</v>
      </c>
      <c r="F84" s="13" t="s">
        <v>309</v>
      </c>
      <c r="G84" s="13" t="s">
        <v>264</v>
      </c>
      <c r="H84" s="15"/>
      <c r="I84" s="16" t="n">
        <f aca="false">Instruções!$B$4</f>
        <v>0.4</v>
      </c>
      <c r="J84" s="17" t="str">
        <f aca="false">IF(H84="","",H84*(1+I84))</f>
        <v/>
      </c>
      <c r="K84" s="17" t="n">
        <v>4</v>
      </c>
      <c r="L84" s="18"/>
      <c r="M84" s="18"/>
      <c r="N84" s="13" t="s">
        <v>310</v>
      </c>
      <c r="O84" s="14"/>
    </row>
    <row r="85" customFormat="false" ht="23.85" hidden="false" customHeight="false" outlineLevel="0" collapsed="false">
      <c r="A85" s="13" t="n">
        <v>83</v>
      </c>
      <c r="B85" s="13" t="s">
        <v>289</v>
      </c>
      <c r="C85" s="13" t="s">
        <v>58</v>
      </c>
      <c r="D85" s="14" t="s">
        <v>307</v>
      </c>
      <c r="E85" s="14" t="s">
        <v>311</v>
      </c>
      <c r="F85" s="13" t="s">
        <v>309</v>
      </c>
      <c r="G85" s="13" t="s">
        <v>264</v>
      </c>
      <c r="H85" s="15"/>
      <c r="I85" s="16" t="n">
        <f aca="false">Instruções!$B$4</f>
        <v>0.4</v>
      </c>
      <c r="J85" s="17" t="str">
        <f aca="false">IF(H85="","",H85*(1+I85))</f>
        <v/>
      </c>
      <c r="K85" s="17" t="n">
        <v>4</v>
      </c>
      <c r="L85" s="18"/>
      <c r="M85" s="18"/>
      <c r="N85" s="13" t="s">
        <v>310</v>
      </c>
      <c r="O85" s="14"/>
    </row>
    <row r="86" customFormat="false" ht="23.85" hidden="false" customHeight="false" outlineLevel="0" collapsed="false">
      <c r="A86" s="13" t="n">
        <v>84</v>
      </c>
      <c r="B86" s="13" t="s">
        <v>289</v>
      </c>
      <c r="C86" s="13" t="s">
        <v>58</v>
      </c>
      <c r="D86" s="14" t="s">
        <v>312</v>
      </c>
      <c r="E86" s="14" t="s">
        <v>313</v>
      </c>
      <c r="F86" s="13" t="s">
        <v>309</v>
      </c>
      <c r="G86" s="13" t="s">
        <v>264</v>
      </c>
      <c r="H86" s="15"/>
      <c r="I86" s="16" t="n">
        <f aca="false">Instruções!$B$4</f>
        <v>0.4</v>
      </c>
      <c r="J86" s="17" t="str">
        <f aca="false">IF(H86="","",H86*(1+I86))</f>
        <v/>
      </c>
      <c r="K86" s="17" t="n">
        <v>4</v>
      </c>
      <c r="L86" s="18"/>
      <c r="M86" s="18"/>
      <c r="N86" s="13" t="s">
        <v>310</v>
      </c>
      <c r="O86" s="14"/>
    </row>
    <row r="87" customFormat="false" ht="23.85" hidden="false" customHeight="false" outlineLevel="0" collapsed="false">
      <c r="A87" s="13" t="n">
        <v>85</v>
      </c>
      <c r="B87" s="13" t="s">
        <v>289</v>
      </c>
      <c r="C87" s="13" t="s">
        <v>314</v>
      </c>
      <c r="D87" s="14" t="s">
        <v>315</v>
      </c>
      <c r="E87" s="14" t="s">
        <v>316</v>
      </c>
      <c r="F87" s="13" t="s">
        <v>309</v>
      </c>
      <c r="G87" s="13" t="s">
        <v>264</v>
      </c>
      <c r="H87" s="15"/>
      <c r="I87" s="16" t="n">
        <f aca="false">Instruções!$B$4</f>
        <v>0.4</v>
      </c>
      <c r="J87" s="17" t="str">
        <f aca="false">IF(H87="","",H87*(1+I87))</f>
        <v/>
      </c>
      <c r="K87" s="17" t="n">
        <v>3.2</v>
      </c>
      <c r="L87" s="18"/>
      <c r="M87" s="18"/>
      <c r="N87" s="13" t="s">
        <v>310</v>
      </c>
      <c r="O87" s="14" t="s">
        <v>100</v>
      </c>
    </row>
    <row r="88" customFormat="false" ht="15" hidden="false" customHeight="false" outlineLevel="0" collapsed="false">
      <c r="A88" s="13" t="n">
        <v>86</v>
      </c>
      <c r="B88" s="13" t="s">
        <v>289</v>
      </c>
      <c r="C88" s="13" t="s">
        <v>314</v>
      </c>
      <c r="D88" s="14" t="s">
        <v>315</v>
      </c>
      <c r="E88" s="14" t="s">
        <v>317</v>
      </c>
      <c r="F88" s="13" t="s">
        <v>309</v>
      </c>
      <c r="G88" s="13" t="s">
        <v>264</v>
      </c>
      <c r="H88" s="15"/>
      <c r="I88" s="16" t="n">
        <f aca="false">Instruções!$B$4</f>
        <v>0.4</v>
      </c>
      <c r="J88" s="17" t="str">
        <f aca="false">IF(H88="","",H88*(1+I88))</f>
        <v/>
      </c>
      <c r="K88" s="17" t="n">
        <v>3.2</v>
      </c>
      <c r="L88" s="18"/>
      <c r="M88" s="18"/>
      <c r="N88" s="13" t="s">
        <v>310</v>
      </c>
      <c r="O88" s="14" t="s">
        <v>100</v>
      </c>
    </row>
    <row r="89" customFormat="false" ht="15" hidden="false" customHeight="false" outlineLevel="0" collapsed="false">
      <c r="A89" s="13" t="n">
        <v>87</v>
      </c>
      <c r="B89" s="13" t="s">
        <v>289</v>
      </c>
      <c r="C89" s="13" t="s">
        <v>111</v>
      </c>
      <c r="D89" s="14" t="s">
        <v>273</v>
      </c>
      <c r="E89" s="14" t="s">
        <v>318</v>
      </c>
      <c r="F89" s="13" t="s">
        <v>309</v>
      </c>
      <c r="G89" s="13" t="s">
        <v>264</v>
      </c>
      <c r="H89" s="15"/>
      <c r="I89" s="16" t="n">
        <f aca="false">Instruções!$B$4</f>
        <v>0.4</v>
      </c>
      <c r="J89" s="17" t="str">
        <f aca="false">IF(H89="","",H89*(1+I89))</f>
        <v/>
      </c>
      <c r="K89" s="17" t="n">
        <v>4</v>
      </c>
      <c r="L89" s="18"/>
      <c r="M89" s="18"/>
      <c r="N89" s="13" t="s">
        <v>310</v>
      </c>
      <c r="O89" s="14"/>
    </row>
    <row r="90" customFormat="false" ht="15" hidden="false" customHeight="false" outlineLevel="0" collapsed="false">
      <c r="A90" s="13" t="n">
        <v>88</v>
      </c>
      <c r="B90" s="13" t="s">
        <v>289</v>
      </c>
      <c r="C90" s="13" t="s">
        <v>111</v>
      </c>
      <c r="D90" s="14" t="s">
        <v>273</v>
      </c>
      <c r="E90" s="14" t="s">
        <v>319</v>
      </c>
      <c r="F90" s="13" t="s">
        <v>309</v>
      </c>
      <c r="G90" s="13" t="s">
        <v>264</v>
      </c>
      <c r="H90" s="15"/>
      <c r="I90" s="16" t="n">
        <f aca="false">Instruções!$B$4</f>
        <v>0.4</v>
      </c>
      <c r="J90" s="17" t="str">
        <f aca="false">IF(H90="","",H90*(1+I90))</f>
        <v/>
      </c>
      <c r="K90" s="17" t="n">
        <v>4</v>
      </c>
      <c r="L90" s="18"/>
      <c r="M90" s="18"/>
      <c r="N90" s="13" t="s">
        <v>310</v>
      </c>
      <c r="O90" s="14"/>
    </row>
    <row r="91" customFormat="false" ht="23.85" hidden="false" customHeight="false" outlineLevel="0" collapsed="false">
      <c r="A91" s="13" t="n">
        <v>89</v>
      </c>
      <c r="B91" s="13" t="s">
        <v>260</v>
      </c>
      <c r="C91" s="13" t="s">
        <v>320</v>
      </c>
      <c r="D91" s="14" t="s">
        <v>321</v>
      </c>
      <c r="E91" s="14" t="s">
        <v>322</v>
      </c>
      <c r="F91" s="13" t="s">
        <v>272</v>
      </c>
      <c r="G91" s="13" t="s">
        <v>264</v>
      </c>
      <c r="H91" s="15"/>
      <c r="I91" s="16" t="n">
        <f aca="false">Instruções!$B$4</f>
        <v>0.4</v>
      </c>
      <c r="J91" s="17" t="str">
        <f aca="false">IF(H91="","",H91*(1+I91))</f>
        <v/>
      </c>
      <c r="K91" s="17"/>
      <c r="L91" s="18"/>
      <c r="M91" s="18"/>
      <c r="N91" s="13" t="s">
        <v>323</v>
      </c>
      <c r="O91" s="14" t="s">
        <v>324</v>
      </c>
    </row>
    <row r="92" customFormat="false" ht="23.85" hidden="false" customHeight="false" outlineLevel="0" collapsed="false">
      <c r="A92" s="13" t="n">
        <v>90</v>
      </c>
      <c r="B92" s="13" t="s">
        <v>115</v>
      </c>
      <c r="C92" s="13" t="s">
        <v>325</v>
      </c>
      <c r="D92" s="14" t="s">
        <v>326</v>
      </c>
      <c r="E92" s="14" t="s">
        <v>327</v>
      </c>
      <c r="F92" s="13" t="s">
        <v>328</v>
      </c>
      <c r="G92" s="13" t="s">
        <v>118</v>
      </c>
      <c r="H92" s="15"/>
      <c r="I92" s="16" t="n">
        <f aca="false">Instruções!$B$4</f>
        <v>0.4</v>
      </c>
      <c r="J92" s="17" t="str">
        <f aca="false">IF(H92="","",H92*(1+I92))</f>
        <v/>
      </c>
      <c r="K92" s="17" t="n">
        <v>22</v>
      </c>
      <c r="L92" s="18"/>
      <c r="M92" s="18"/>
      <c r="N92" s="13" t="s">
        <v>329</v>
      </c>
      <c r="O92" s="14" t="s">
        <v>330</v>
      </c>
    </row>
    <row r="93" customFormat="false" ht="23.85" hidden="false" customHeight="false" outlineLevel="0" collapsed="false">
      <c r="A93" s="13" t="n">
        <v>91</v>
      </c>
      <c r="B93" s="13" t="s">
        <v>115</v>
      </c>
      <c r="C93" s="13" t="s">
        <v>111</v>
      </c>
      <c r="D93" s="14" t="s">
        <v>331</v>
      </c>
      <c r="E93" s="14" t="s">
        <v>332</v>
      </c>
      <c r="F93" s="13" t="s">
        <v>333</v>
      </c>
      <c r="G93" s="13" t="s">
        <v>118</v>
      </c>
      <c r="H93" s="15"/>
      <c r="I93" s="16" t="n">
        <f aca="false">Instruções!$B$4</f>
        <v>0.4</v>
      </c>
      <c r="J93" s="17" t="str">
        <f aca="false">IF(H93="","",H93*(1+I93))</f>
        <v/>
      </c>
      <c r="K93" s="17" t="n">
        <v>14.4</v>
      </c>
      <c r="L93" s="18"/>
      <c r="M93" s="18"/>
      <c r="N93" s="13" t="s">
        <v>323</v>
      </c>
      <c r="O93" s="14"/>
    </row>
    <row r="94" customFormat="false" ht="23.85" hidden="false" customHeight="false" outlineLevel="0" collapsed="false">
      <c r="A94" s="13" t="n">
        <v>92</v>
      </c>
      <c r="B94" s="13" t="s">
        <v>115</v>
      </c>
      <c r="C94" s="13" t="s">
        <v>79</v>
      </c>
      <c r="D94" s="14" t="s">
        <v>334</v>
      </c>
      <c r="E94" s="14" t="s">
        <v>122</v>
      </c>
      <c r="F94" s="13" t="s">
        <v>152</v>
      </c>
      <c r="G94" s="13" t="s">
        <v>118</v>
      </c>
      <c r="H94" s="15"/>
      <c r="I94" s="16" t="n">
        <f aca="false">Instruções!$B$4</f>
        <v>0.4</v>
      </c>
      <c r="J94" s="17" t="str">
        <f aca="false">IF(H94="","",H94*(1+I94))</f>
        <v/>
      </c>
      <c r="K94" s="17" t="n">
        <v>16.3</v>
      </c>
      <c r="L94" s="18"/>
      <c r="M94" s="18"/>
      <c r="N94" s="13" t="s">
        <v>335</v>
      </c>
      <c r="O94" s="14" t="s">
        <v>336</v>
      </c>
    </row>
    <row r="95" customFormat="false" ht="23.85" hidden="false" customHeight="false" outlineLevel="0" collapsed="false">
      <c r="A95" s="13" t="n">
        <v>93</v>
      </c>
      <c r="B95" s="13" t="s">
        <v>197</v>
      </c>
      <c r="C95" s="13" t="s">
        <v>64</v>
      </c>
      <c r="D95" s="14" t="s">
        <v>337</v>
      </c>
      <c r="E95" s="14" t="s">
        <v>338</v>
      </c>
      <c r="F95" s="13" t="s">
        <v>64</v>
      </c>
      <c r="G95" s="13" t="s">
        <v>164</v>
      </c>
      <c r="H95" s="15"/>
      <c r="I95" s="16" t="n">
        <f aca="false">Instruções!$B$4</f>
        <v>0.4</v>
      </c>
      <c r="J95" s="17" t="str">
        <f aca="false">IF(H95="","",H95*(1+I95))</f>
        <v/>
      </c>
      <c r="K95" s="17"/>
      <c r="L95" s="18"/>
      <c r="M95" s="18"/>
      <c r="N95" s="13" t="s">
        <v>339</v>
      </c>
      <c r="O95" s="14" t="s">
        <v>340</v>
      </c>
    </row>
    <row r="96" customFormat="false" ht="23.85" hidden="false" customHeight="false" outlineLevel="0" collapsed="false">
      <c r="A96" s="13" t="n">
        <v>94</v>
      </c>
      <c r="B96" s="13" t="s">
        <v>197</v>
      </c>
      <c r="C96" s="13" t="s">
        <v>64</v>
      </c>
      <c r="D96" s="14" t="s">
        <v>341</v>
      </c>
      <c r="E96" s="14" t="s">
        <v>342</v>
      </c>
      <c r="F96" s="13" t="s">
        <v>163</v>
      </c>
      <c r="G96" s="13" t="s">
        <v>164</v>
      </c>
      <c r="H96" s="15"/>
      <c r="I96" s="16" t="n">
        <f aca="false">Instruções!$B$4</f>
        <v>0.4</v>
      </c>
      <c r="J96" s="17" t="str">
        <f aca="false">IF(H96="","",H96*(1+I96))</f>
        <v/>
      </c>
      <c r="K96" s="17"/>
      <c r="L96" s="18"/>
      <c r="M96" s="18"/>
      <c r="N96" s="13" t="s">
        <v>343</v>
      </c>
      <c r="O96" s="14" t="s">
        <v>344</v>
      </c>
    </row>
    <row r="97" customFormat="false" ht="23.85" hidden="false" customHeight="false" outlineLevel="0" collapsed="false">
      <c r="A97" s="13" t="n">
        <v>95</v>
      </c>
      <c r="B97" s="13" t="s">
        <v>197</v>
      </c>
      <c r="C97" s="13" t="s">
        <v>160</v>
      </c>
      <c r="D97" s="14" t="s">
        <v>345</v>
      </c>
      <c r="E97" s="14" t="s">
        <v>346</v>
      </c>
      <c r="F97" s="13" t="s">
        <v>347</v>
      </c>
      <c r="G97" s="13" t="s">
        <v>164</v>
      </c>
      <c r="H97" s="15"/>
      <c r="I97" s="16" t="n">
        <f aca="false">Instruções!$B$4</f>
        <v>0.4</v>
      </c>
      <c r="J97" s="17" t="str">
        <f aca="false">IF(H97="","",H97*(1+I97))</f>
        <v/>
      </c>
      <c r="K97" s="17" t="n">
        <v>55.8</v>
      </c>
      <c r="L97" s="18"/>
      <c r="M97" s="18"/>
      <c r="N97" s="13" t="s">
        <v>348</v>
      </c>
      <c r="O97" s="14" t="s">
        <v>349</v>
      </c>
    </row>
    <row r="98" customFormat="false" ht="23.85" hidden="false" customHeight="false" outlineLevel="0" collapsed="false">
      <c r="A98" s="13" t="n">
        <v>96</v>
      </c>
      <c r="B98" s="13" t="s">
        <v>197</v>
      </c>
      <c r="C98" s="13" t="s">
        <v>160</v>
      </c>
      <c r="D98" s="14" t="s">
        <v>350</v>
      </c>
      <c r="E98" s="14" t="s">
        <v>351</v>
      </c>
      <c r="F98" s="13" t="s">
        <v>64</v>
      </c>
      <c r="G98" s="13" t="s">
        <v>164</v>
      </c>
      <c r="H98" s="15"/>
      <c r="I98" s="16" t="n">
        <f aca="false">Instruções!$B$4</f>
        <v>0.4</v>
      </c>
      <c r="J98" s="17" t="str">
        <f aca="false">IF(H98="","",H98*(1+I98))</f>
        <v/>
      </c>
      <c r="K98" s="17" t="n">
        <v>35</v>
      </c>
      <c r="L98" s="18"/>
      <c r="M98" s="18"/>
      <c r="N98" s="13" t="s">
        <v>348</v>
      </c>
      <c r="O98" s="14" t="s">
        <v>352</v>
      </c>
    </row>
    <row r="99" customFormat="false" ht="15" hidden="false" customHeight="false" outlineLevel="0" collapsed="false">
      <c r="A99" s="13" t="n">
        <v>97</v>
      </c>
      <c r="B99" s="13" t="s">
        <v>130</v>
      </c>
      <c r="C99" s="13" t="s">
        <v>160</v>
      </c>
      <c r="D99" s="14" t="s">
        <v>353</v>
      </c>
      <c r="E99" s="14" t="s">
        <v>354</v>
      </c>
      <c r="F99" s="13" t="s">
        <v>64</v>
      </c>
      <c r="G99" s="13" t="s">
        <v>164</v>
      </c>
      <c r="H99" s="15"/>
      <c r="I99" s="16" t="n">
        <f aca="false">Instruções!$B$4</f>
        <v>0.4</v>
      </c>
      <c r="J99" s="17" t="str">
        <f aca="false">IF(H99="","",H99*(1+I99))</f>
        <v/>
      </c>
      <c r="K99" s="17" t="n">
        <v>20</v>
      </c>
      <c r="L99" s="18"/>
      <c r="M99" s="18"/>
      <c r="N99" s="13" t="s">
        <v>355</v>
      </c>
      <c r="O99" s="14"/>
    </row>
    <row r="100" customFormat="false" ht="15" hidden="false" customHeight="false" outlineLevel="0" collapsed="false">
      <c r="A100" s="13" t="n">
        <v>98</v>
      </c>
      <c r="B100" s="13" t="s">
        <v>130</v>
      </c>
      <c r="C100" s="13" t="s">
        <v>356</v>
      </c>
      <c r="D100" s="14" t="s">
        <v>357</v>
      </c>
      <c r="E100" s="14" t="s">
        <v>358</v>
      </c>
      <c r="F100" s="13" t="s">
        <v>359</v>
      </c>
      <c r="G100" s="13" t="s">
        <v>51</v>
      </c>
      <c r="H100" s="15"/>
      <c r="I100" s="16" t="n">
        <f aca="false">Instruções!$B$4</f>
        <v>0.4</v>
      </c>
      <c r="J100" s="17" t="str">
        <f aca="false">IF(H100="","",H100*(1+I100))</f>
        <v/>
      </c>
      <c r="K100" s="17"/>
      <c r="L100" s="18"/>
      <c r="M100" s="18"/>
      <c r="N100" s="13" t="s">
        <v>360</v>
      </c>
      <c r="O100" s="14" t="s">
        <v>252</v>
      </c>
    </row>
    <row r="101" customFormat="false" ht="15" hidden="false" customHeight="false" outlineLevel="0" collapsed="false">
      <c r="A101" s="13" t="n">
        <v>99</v>
      </c>
      <c r="B101" s="13" t="s">
        <v>130</v>
      </c>
      <c r="C101" s="13" t="s">
        <v>160</v>
      </c>
      <c r="D101" s="14" t="s">
        <v>361</v>
      </c>
      <c r="E101" s="14" t="s">
        <v>362</v>
      </c>
      <c r="F101" s="13" t="s">
        <v>363</v>
      </c>
      <c r="G101" s="13" t="s">
        <v>164</v>
      </c>
      <c r="H101" s="15"/>
      <c r="I101" s="16" t="n">
        <f aca="false">Instruções!$B$4</f>
        <v>0.4</v>
      </c>
      <c r="J101" s="17" t="str">
        <f aca="false">IF(H101="","",H101*(1+I101))</f>
        <v/>
      </c>
      <c r="K101" s="17" t="n">
        <v>10</v>
      </c>
      <c r="L101" s="18"/>
      <c r="M101" s="18"/>
      <c r="N101" s="13" t="s">
        <v>364</v>
      </c>
      <c r="O101" s="14"/>
    </row>
    <row r="102" customFormat="false" ht="15" hidden="false" customHeight="false" outlineLevel="0" collapsed="false">
      <c r="A102" s="13" t="n">
        <v>100</v>
      </c>
      <c r="B102" s="13" t="s">
        <v>159</v>
      </c>
      <c r="C102" s="13" t="s">
        <v>160</v>
      </c>
      <c r="D102" s="14" t="s">
        <v>365</v>
      </c>
      <c r="E102" s="14" t="s">
        <v>358</v>
      </c>
      <c r="F102" s="13" t="s">
        <v>366</v>
      </c>
      <c r="G102" s="13" t="s">
        <v>164</v>
      </c>
      <c r="H102" s="15"/>
      <c r="I102" s="16" t="n">
        <f aca="false">Instruções!$B$4</f>
        <v>0.4</v>
      </c>
      <c r="J102" s="17" t="str">
        <f aca="false">IF(H102="","",H102*(1+I102))</f>
        <v/>
      </c>
      <c r="K102" s="17"/>
      <c r="L102" s="18"/>
      <c r="M102" s="18"/>
      <c r="N102" s="13" t="s">
        <v>364</v>
      </c>
      <c r="O102" s="14" t="s">
        <v>367</v>
      </c>
    </row>
    <row r="103" customFormat="false" ht="15" hidden="false" customHeight="false" outlineLevel="0" collapsed="false">
      <c r="A103" s="13" t="n">
        <v>101</v>
      </c>
      <c r="B103" s="13" t="s">
        <v>159</v>
      </c>
      <c r="C103" s="13" t="s">
        <v>160</v>
      </c>
      <c r="D103" s="14" t="s">
        <v>368</v>
      </c>
      <c r="E103" s="14" t="s">
        <v>369</v>
      </c>
      <c r="F103" s="13" t="s">
        <v>168</v>
      </c>
      <c r="G103" s="13" t="s">
        <v>164</v>
      </c>
      <c r="H103" s="15"/>
      <c r="I103" s="16" t="n">
        <f aca="false">Instruções!$B$4</f>
        <v>0.4</v>
      </c>
      <c r="J103" s="17" t="str">
        <f aca="false">IF(H103="","",H103*(1+I103))</f>
        <v/>
      </c>
      <c r="K103" s="17" t="n">
        <v>40</v>
      </c>
      <c r="L103" s="18"/>
      <c r="M103" s="18"/>
      <c r="N103" s="13" t="s">
        <v>364</v>
      </c>
      <c r="O103" s="14" t="s">
        <v>370</v>
      </c>
    </row>
    <row r="104" customFormat="false" ht="23.85" hidden="false" customHeight="false" outlineLevel="0" collapsed="false">
      <c r="A104" s="13" t="n">
        <v>102</v>
      </c>
      <c r="B104" s="13" t="s">
        <v>148</v>
      </c>
      <c r="C104" s="13" t="s">
        <v>160</v>
      </c>
      <c r="D104" s="14" t="s">
        <v>371</v>
      </c>
      <c r="E104" s="14" t="s">
        <v>372</v>
      </c>
      <c r="F104" s="13" t="s">
        <v>373</v>
      </c>
      <c r="G104" s="13" t="s">
        <v>374</v>
      </c>
      <c r="H104" s="15"/>
      <c r="I104" s="16" t="n">
        <f aca="false">Instruções!$B$4</f>
        <v>0.4</v>
      </c>
      <c r="J104" s="17" t="str">
        <f aca="false">IF(H104="","",H104*(1+I104))</f>
        <v/>
      </c>
      <c r="K104" s="17" t="n">
        <v>19.5</v>
      </c>
      <c r="L104" s="18"/>
      <c r="M104" s="18"/>
      <c r="N104" s="13" t="s">
        <v>364</v>
      </c>
      <c r="O104" s="14" t="s">
        <v>375</v>
      </c>
    </row>
    <row r="105" customFormat="false" ht="15" hidden="false" customHeight="false" outlineLevel="0" collapsed="false">
      <c r="A105" s="13" t="n">
        <v>103</v>
      </c>
      <c r="B105" s="13" t="s">
        <v>148</v>
      </c>
      <c r="C105" s="13" t="s">
        <v>160</v>
      </c>
      <c r="D105" s="14" t="s">
        <v>376</v>
      </c>
      <c r="E105" s="14" t="s">
        <v>372</v>
      </c>
      <c r="F105" s="13" t="s">
        <v>373</v>
      </c>
      <c r="G105" s="13" t="s">
        <v>374</v>
      </c>
      <c r="H105" s="15"/>
      <c r="I105" s="16" t="n">
        <f aca="false">Instruções!$B$4</f>
        <v>0.4</v>
      </c>
      <c r="J105" s="17" t="str">
        <f aca="false">IF(H105="","",H105*(1+I105))</f>
        <v/>
      </c>
      <c r="K105" s="17" t="n">
        <v>18</v>
      </c>
      <c r="L105" s="18"/>
      <c r="M105" s="18"/>
      <c r="N105" s="13" t="s">
        <v>364</v>
      </c>
      <c r="O105" s="14" t="s">
        <v>377</v>
      </c>
    </row>
    <row r="106" customFormat="false" ht="23.85" hidden="false" customHeight="false" outlineLevel="0" collapsed="false">
      <c r="A106" s="13" t="n">
        <v>104</v>
      </c>
      <c r="B106" s="13" t="s">
        <v>104</v>
      </c>
      <c r="C106" s="13" t="s">
        <v>105</v>
      </c>
      <c r="D106" s="14" t="s">
        <v>378</v>
      </c>
      <c r="E106" s="14" t="s">
        <v>255</v>
      </c>
      <c r="F106" s="13" t="s">
        <v>56</v>
      </c>
      <c r="G106" s="13" t="s">
        <v>51</v>
      </c>
      <c r="H106" s="15"/>
      <c r="I106" s="16" t="n">
        <f aca="false">Instruções!$B$4</f>
        <v>0.4</v>
      </c>
      <c r="J106" s="17" t="str">
        <f aca="false">IF(H106="","",H106*(1+I106))</f>
        <v/>
      </c>
      <c r="K106" s="17"/>
      <c r="L106" s="18"/>
      <c r="M106" s="18"/>
      <c r="N106" s="13" t="s">
        <v>379</v>
      </c>
      <c r="O106" s="14" t="s">
        <v>85</v>
      </c>
    </row>
    <row r="107" customFormat="false" ht="15" hidden="false" customHeight="false" outlineLevel="0" collapsed="false">
      <c r="A107" s="13" t="n">
        <v>105</v>
      </c>
      <c r="B107" s="13" t="s">
        <v>104</v>
      </c>
      <c r="C107" s="13" t="s">
        <v>105</v>
      </c>
      <c r="D107" s="14" t="s">
        <v>380</v>
      </c>
      <c r="E107" s="14" t="s">
        <v>381</v>
      </c>
      <c r="F107" s="13" t="s">
        <v>56</v>
      </c>
      <c r="G107" s="13" t="s">
        <v>51</v>
      </c>
      <c r="H107" s="15"/>
      <c r="I107" s="16" t="n">
        <f aca="false">Instruções!$B$4</f>
        <v>0.4</v>
      </c>
      <c r="J107" s="17" t="str">
        <f aca="false">IF(H107="","",H107*(1+I107))</f>
        <v/>
      </c>
      <c r="K107" s="17"/>
      <c r="L107" s="18"/>
      <c r="M107" s="18"/>
      <c r="N107" s="13" t="s">
        <v>379</v>
      </c>
      <c r="O107" s="14" t="s">
        <v>382</v>
      </c>
    </row>
    <row r="108" customFormat="false" ht="15" hidden="false" customHeight="false" outlineLevel="0" collapsed="false">
      <c r="A108" s="13" t="n">
        <v>106</v>
      </c>
      <c r="B108" s="13" t="s">
        <v>104</v>
      </c>
      <c r="C108" s="13" t="s">
        <v>58</v>
      </c>
      <c r="D108" s="14" t="s">
        <v>383</v>
      </c>
      <c r="E108" s="14" t="s">
        <v>78</v>
      </c>
      <c r="F108" s="13" t="s">
        <v>56</v>
      </c>
      <c r="G108" s="13" t="s">
        <v>51</v>
      </c>
      <c r="H108" s="15"/>
      <c r="I108" s="16" t="n">
        <f aca="false">Instruções!$B$4</f>
        <v>0.4</v>
      </c>
      <c r="J108" s="17" t="str">
        <f aca="false">IF(H108="","",H108*(1+I108))</f>
        <v/>
      </c>
      <c r="K108" s="17"/>
      <c r="L108" s="18"/>
      <c r="M108" s="18"/>
      <c r="N108" s="13" t="s">
        <v>379</v>
      </c>
      <c r="O108" s="14" t="s">
        <v>384</v>
      </c>
    </row>
    <row r="109" customFormat="false" ht="15" hidden="false" customHeight="false" outlineLevel="0" collapsed="false">
      <c r="A109" s="13" t="n">
        <v>107</v>
      </c>
      <c r="B109" s="13" t="s">
        <v>46</v>
      </c>
      <c r="C109" s="13" t="s">
        <v>47</v>
      </c>
      <c r="D109" s="14" t="s">
        <v>385</v>
      </c>
      <c r="E109" s="14" t="s">
        <v>94</v>
      </c>
      <c r="F109" s="13" t="s">
        <v>56</v>
      </c>
      <c r="G109" s="13" t="s">
        <v>51</v>
      </c>
      <c r="H109" s="15"/>
      <c r="I109" s="16" t="n">
        <f aca="false">Instruções!$B$4</f>
        <v>0.4</v>
      </c>
      <c r="J109" s="17" t="str">
        <f aca="false">IF(H109="","",H109*(1+I109))</f>
        <v/>
      </c>
      <c r="K109" s="17"/>
      <c r="L109" s="18"/>
      <c r="M109" s="18"/>
      <c r="N109" s="13" t="s">
        <v>379</v>
      </c>
      <c r="O109" s="14"/>
    </row>
    <row r="110" customFormat="false" ht="15" hidden="false" customHeight="false" outlineLevel="0" collapsed="false">
      <c r="A110" s="13" t="n">
        <v>108</v>
      </c>
      <c r="B110" s="13" t="s">
        <v>46</v>
      </c>
      <c r="C110" s="13" t="s">
        <v>47</v>
      </c>
      <c r="D110" s="14" t="s">
        <v>386</v>
      </c>
      <c r="E110" s="14" t="s">
        <v>55</v>
      </c>
      <c r="F110" s="13" t="s">
        <v>64</v>
      </c>
      <c r="G110" s="13" t="s">
        <v>51</v>
      </c>
      <c r="H110" s="15"/>
      <c r="I110" s="16" t="n">
        <f aca="false">Instruções!$B$4</f>
        <v>0.4</v>
      </c>
      <c r="J110" s="17" t="str">
        <f aca="false">IF(H110="","",H110*(1+I110))</f>
        <v/>
      </c>
      <c r="K110" s="17"/>
      <c r="L110" s="18"/>
      <c r="M110" s="18"/>
      <c r="N110" s="13" t="s">
        <v>379</v>
      </c>
      <c r="O110" s="14" t="s">
        <v>66</v>
      </c>
    </row>
    <row r="111" customFormat="false" ht="23.85" hidden="false" customHeight="false" outlineLevel="0" collapsed="false">
      <c r="A111" s="13" t="n">
        <v>109</v>
      </c>
      <c r="B111" s="13" t="s">
        <v>46</v>
      </c>
      <c r="C111" s="13" t="s">
        <v>75</v>
      </c>
      <c r="D111" s="14" t="s">
        <v>76</v>
      </c>
      <c r="E111" s="14" t="s">
        <v>387</v>
      </c>
      <c r="F111" s="13" t="s">
        <v>56</v>
      </c>
      <c r="G111" s="13" t="s">
        <v>51</v>
      </c>
      <c r="H111" s="15"/>
      <c r="I111" s="16" t="n">
        <f aca="false">Instruções!$B$4</f>
        <v>0.4</v>
      </c>
      <c r="J111" s="17" t="str">
        <f aca="false">IF(H111="","",H111*(1+I111))</f>
        <v/>
      </c>
      <c r="K111" s="17"/>
      <c r="L111" s="18"/>
      <c r="M111" s="18"/>
      <c r="N111" s="13" t="s">
        <v>379</v>
      </c>
      <c r="O111" s="14"/>
    </row>
    <row r="112" customFormat="false" ht="23.85" hidden="false" customHeight="false" outlineLevel="0" collapsed="false">
      <c r="A112" s="13" t="n">
        <v>110</v>
      </c>
      <c r="B112" s="13" t="s">
        <v>46</v>
      </c>
      <c r="C112" s="13" t="s">
        <v>75</v>
      </c>
      <c r="D112" s="14" t="s">
        <v>388</v>
      </c>
      <c r="E112" s="14" t="s">
        <v>389</v>
      </c>
      <c r="F112" s="13" t="s">
        <v>56</v>
      </c>
      <c r="G112" s="13" t="s">
        <v>51</v>
      </c>
      <c r="H112" s="15"/>
      <c r="I112" s="16" t="n">
        <f aca="false">Instruções!$B$4</f>
        <v>0.4</v>
      </c>
      <c r="J112" s="17" t="str">
        <f aca="false">IF(H112="","",H112*(1+I112))</f>
        <v/>
      </c>
      <c r="K112" s="17"/>
      <c r="L112" s="18"/>
      <c r="M112" s="18"/>
      <c r="N112" s="13" t="s">
        <v>379</v>
      </c>
      <c r="O112" s="14"/>
    </row>
    <row r="113" customFormat="false" ht="15" hidden="false" customHeight="false" outlineLevel="0" collapsed="false">
      <c r="A113" s="13" t="n">
        <v>111</v>
      </c>
      <c r="B113" s="13" t="s">
        <v>104</v>
      </c>
      <c r="C113" s="13" t="s">
        <v>111</v>
      </c>
      <c r="D113" s="14" t="s">
        <v>390</v>
      </c>
      <c r="E113" s="14" t="s">
        <v>78</v>
      </c>
      <c r="F113" s="13" t="s">
        <v>56</v>
      </c>
      <c r="G113" s="13" t="s">
        <v>51</v>
      </c>
      <c r="H113" s="15"/>
      <c r="I113" s="16" t="n">
        <f aca="false">Instruções!$B$4</f>
        <v>0.4</v>
      </c>
      <c r="J113" s="17" t="str">
        <f aca="false">IF(H113="","",H113*(1+I113))</f>
        <v/>
      </c>
      <c r="K113" s="17"/>
      <c r="L113" s="18"/>
      <c r="M113" s="18"/>
      <c r="N113" s="13" t="s">
        <v>379</v>
      </c>
      <c r="O113" s="14" t="s">
        <v>384</v>
      </c>
    </row>
    <row r="114" customFormat="false" ht="23.85" hidden="false" customHeight="false" outlineLevel="0" collapsed="false">
      <c r="A114" s="13" t="n">
        <v>112</v>
      </c>
      <c r="B114" s="13" t="s">
        <v>210</v>
      </c>
      <c r="C114" s="13" t="s">
        <v>160</v>
      </c>
      <c r="D114" s="14" t="s">
        <v>391</v>
      </c>
      <c r="E114" s="14" t="s">
        <v>392</v>
      </c>
      <c r="F114" s="13" t="s">
        <v>64</v>
      </c>
      <c r="G114" s="13" t="s">
        <v>164</v>
      </c>
      <c r="H114" s="15"/>
      <c r="I114" s="16" t="n">
        <f aca="false">Instruções!$B$4</f>
        <v>0.4</v>
      </c>
      <c r="J114" s="17" t="str">
        <f aca="false">IF(H114="","",H114*(1+I114))</f>
        <v/>
      </c>
      <c r="K114" s="17"/>
      <c r="L114" s="18"/>
      <c r="M114" s="18"/>
      <c r="N114" s="13" t="s">
        <v>329</v>
      </c>
      <c r="O114" s="14" t="s">
        <v>393</v>
      </c>
    </row>
    <row r="115" customFormat="false" ht="23.85" hidden="false" customHeight="false" outlineLevel="0" collapsed="false">
      <c r="A115" s="13" t="n">
        <v>113</v>
      </c>
      <c r="B115" s="13" t="s">
        <v>394</v>
      </c>
      <c r="C115" s="13" t="s">
        <v>75</v>
      </c>
      <c r="D115" s="14" t="s">
        <v>395</v>
      </c>
      <c r="E115" s="14" t="s">
        <v>396</v>
      </c>
      <c r="F115" s="13" t="s">
        <v>397</v>
      </c>
      <c r="G115" s="13" t="s">
        <v>374</v>
      </c>
      <c r="H115" s="15"/>
      <c r="I115" s="16" t="n">
        <f aca="false">Instruções!$B$4</f>
        <v>0.4</v>
      </c>
      <c r="J115" s="17" t="str">
        <f aca="false">IF(H115="","",H115*(1+I115))</f>
        <v/>
      </c>
      <c r="K115" s="17" t="n">
        <v>16.3</v>
      </c>
      <c r="L115" s="18"/>
      <c r="M115" s="18"/>
      <c r="N115" s="13" t="s">
        <v>398</v>
      </c>
      <c r="O115" s="14" t="s">
        <v>399</v>
      </c>
    </row>
    <row r="116" customFormat="false" ht="15" hidden="false" customHeight="false" outlineLevel="0" collapsed="false">
      <c r="A116" s="13" t="n">
        <v>114</v>
      </c>
      <c r="B116" s="13" t="s">
        <v>394</v>
      </c>
      <c r="C116" s="13" t="s">
        <v>47</v>
      </c>
      <c r="D116" s="14" t="s">
        <v>400</v>
      </c>
      <c r="E116" s="14" t="s">
        <v>401</v>
      </c>
      <c r="F116" s="13" t="s">
        <v>397</v>
      </c>
      <c r="G116" s="13" t="s">
        <v>374</v>
      </c>
      <c r="H116" s="15"/>
      <c r="I116" s="16" t="n">
        <f aca="false">Instruções!$B$4</f>
        <v>0.4</v>
      </c>
      <c r="J116" s="17" t="str">
        <f aca="false">IF(H116="","",H116*(1+I116))</f>
        <v/>
      </c>
      <c r="K116" s="17" t="n">
        <v>20.3</v>
      </c>
      <c r="L116" s="18"/>
      <c r="M116" s="18"/>
      <c r="N116" s="13" t="s">
        <v>402</v>
      </c>
      <c r="O116" s="14"/>
    </row>
    <row r="117" customFormat="false" ht="15" hidden="false" customHeight="false" outlineLevel="0" collapsed="false">
      <c r="A117" s="13" t="n">
        <v>115</v>
      </c>
      <c r="B117" s="13" t="s">
        <v>394</v>
      </c>
      <c r="C117" s="13" t="s">
        <v>105</v>
      </c>
      <c r="D117" s="14" t="s">
        <v>403</v>
      </c>
      <c r="E117" s="14" t="s">
        <v>78</v>
      </c>
      <c r="F117" s="13" t="s">
        <v>397</v>
      </c>
      <c r="G117" s="13" t="s">
        <v>374</v>
      </c>
      <c r="H117" s="15"/>
      <c r="I117" s="16" t="n">
        <f aca="false">Instruções!$B$4</f>
        <v>0.4</v>
      </c>
      <c r="J117" s="17" t="str">
        <f aca="false">IF(H117="","",H117*(1+I117))</f>
        <v/>
      </c>
      <c r="K117" s="17" t="n">
        <v>18.7</v>
      </c>
      <c r="L117" s="18"/>
      <c r="M117" s="18"/>
      <c r="N117" s="13" t="s">
        <v>402</v>
      </c>
      <c r="O117" s="14"/>
    </row>
    <row r="118" customFormat="false" ht="15" hidden="false" customHeight="false" outlineLevel="0" collapsed="false">
      <c r="A118" s="13" t="n">
        <v>116</v>
      </c>
      <c r="B118" s="13" t="s">
        <v>394</v>
      </c>
      <c r="C118" s="13" t="s">
        <v>92</v>
      </c>
      <c r="D118" s="14" t="s">
        <v>404</v>
      </c>
      <c r="E118" s="14" t="s">
        <v>405</v>
      </c>
      <c r="F118" s="13" t="s">
        <v>397</v>
      </c>
      <c r="G118" s="13" t="s">
        <v>374</v>
      </c>
      <c r="H118" s="15"/>
      <c r="I118" s="16" t="n">
        <f aca="false">Instruções!$B$4</f>
        <v>0.4</v>
      </c>
      <c r="J118" s="17" t="str">
        <f aca="false">IF(H118="","",H118*(1+I118))</f>
        <v/>
      </c>
      <c r="K118" s="17" t="n">
        <v>11</v>
      </c>
      <c r="L118" s="18"/>
      <c r="M118" s="18"/>
      <c r="N118" s="13" t="s">
        <v>406</v>
      </c>
      <c r="O118" s="14" t="s">
        <v>407</v>
      </c>
    </row>
    <row r="119" customFormat="false" ht="15" hidden="false" customHeight="false" outlineLevel="0" collapsed="false">
      <c r="A119" s="13" t="n">
        <v>117</v>
      </c>
      <c r="B119" s="13" t="s">
        <v>394</v>
      </c>
      <c r="C119" s="13" t="s">
        <v>58</v>
      </c>
      <c r="D119" s="14" t="s">
        <v>383</v>
      </c>
      <c r="E119" s="14" t="s">
        <v>408</v>
      </c>
      <c r="F119" s="13" t="s">
        <v>397</v>
      </c>
      <c r="G119" s="13" t="s">
        <v>374</v>
      </c>
      <c r="H119" s="15"/>
      <c r="I119" s="16" t="n">
        <f aca="false">Instruções!$B$4</f>
        <v>0.4</v>
      </c>
      <c r="J119" s="17" t="str">
        <f aca="false">IF(H119="","",H119*(1+I119))</f>
        <v/>
      </c>
      <c r="K119" s="17" t="n">
        <v>19.5</v>
      </c>
      <c r="L119" s="18"/>
      <c r="M119" s="18"/>
      <c r="N119" s="13" t="s">
        <v>406</v>
      </c>
      <c r="O119" s="14"/>
    </row>
    <row r="120" customFormat="false" ht="15" hidden="false" customHeight="false" outlineLevel="0" collapsed="false">
      <c r="A120" s="13" t="n">
        <v>118</v>
      </c>
      <c r="B120" s="13" t="s">
        <v>394</v>
      </c>
      <c r="C120" s="13" t="s">
        <v>86</v>
      </c>
      <c r="D120" s="14" t="s">
        <v>409</v>
      </c>
      <c r="E120" s="14" t="s">
        <v>255</v>
      </c>
      <c r="F120" s="13" t="s">
        <v>397</v>
      </c>
      <c r="G120" s="13" t="s">
        <v>374</v>
      </c>
      <c r="H120" s="15"/>
      <c r="I120" s="16" t="n">
        <f aca="false">Instruções!$B$4</f>
        <v>0.4</v>
      </c>
      <c r="J120" s="17" t="str">
        <f aca="false">IF(H120="","",H120*(1+I120))</f>
        <v/>
      </c>
      <c r="K120" s="17" t="n">
        <v>16.5</v>
      </c>
      <c r="L120" s="18"/>
      <c r="M120" s="18"/>
      <c r="N120" s="13" t="s">
        <v>410</v>
      </c>
      <c r="O120" s="14"/>
    </row>
    <row r="121" customFormat="false" ht="23.85" hidden="false" customHeight="false" outlineLevel="0" collapsed="false">
      <c r="A121" s="13" t="n">
        <v>119</v>
      </c>
      <c r="B121" s="13" t="s">
        <v>394</v>
      </c>
      <c r="C121" s="13" t="s">
        <v>111</v>
      </c>
      <c r="D121" s="14" t="s">
        <v>411</v>
      </c>
      <c r="E121" s="14" t="s">
        <v>113</v>
      </c>
      <c r="F121" s="13" t="s">
        <v>397</v>
      </c>
      <c r="G121" s="13" t="s">
        <v>374</v>
      </c>
      <c r="H121" s="15"/>
      <c r="I121" s="16" t="n">
        <f aca="false">Instruções!$B$4</f>
        <v>0.4</v>
      </c>
      <c r="J121" s="17" t="str">
        <f aca="false">IF(H121="","",H121*(1+I121))</f>
        <v/>
      </c>
      <c r="K121" s="17" t="n">
        <v>23.3</v>
      </c>
      <c r="L121" s="18"/>
      <c r="M121" s="18"/>
      <c r="N121" s="13" t="s">
        <v>410</v>
      </c>
      <c r="O121" s="14" t="s">
        <v>412</v>
      </c>
    </row>
    <row r="122" customFormat="false" ht="23.85" hidden="false" customHeight="false" outlineLevel="0" collapsed="false">
      <c r="A122" s="13" t="n">
        <v>120</v>
      </c>
      <c r="B122" s="13" t="s">
        <v>394</v>
      </c>
      <c r="C122" s="13" t="s">
        <v>75</v>
      </c>
      <c r="D122" s="14" t="s">
        <v>413</v>
      </c>
      <c r="E122" s="14" t="s">
        <v>414</v>
      </c>
      <c r="F122" s="13" t="s">
        <v>397</v>
      </c>
      <c r="G122" s="13" t="s">
        <v>374</v>
      </c>
      <c r="H122" s="15"/>
      <c r="I122" s="16" t="n">
        <f aca="false">Instruções!$B$4</f>
        <v>0.4</v>
      </c>
      <c r="J122" s="17" t="str">
        <f aca="false">IF(H122="","",H122*(1+I122))</f>
        <v/>
      </c>
      <c r="K122" s="17" t="n">
        <v>18.2</v>
      </c>
      <c r="L122" s="18"/>
      <c r="M122" s="18"/>
      <c r="N122" s="13" t="s">
        <v>410</v>
      </c>
      <c r="O122" s="14"/>
    </row>
    <row r="123" customFormat="false" ht="15" hidden="false" customHeight="false" outlineLevel="0" collapsed="false">
      <c r="A123" s="13" t="n">
        <v>121</v>
      </c>
      <c r="B123" s="13" t="s">
        <v>394</v>
      </c>
      <c r="C123" s="13" t="s">
        <v>47</v>
      </c>
      <c r="D123" s="14" t="s">
        <v>415</v>
      </c>
      <c r="E123" s="14" t="s">
        <v>126</v>
      </c>
      <c r="F123" s="13" t="s">
        <v>397</v>
      </c>
      <c r="G123" s="13" t="s">
        <v>374</v>
      </c>
      <c r="H123" s="15"/>
      <c r="I123" s="16" t="n">
        <f aca="false">Instruções!$B$4</f>
        <v>0.4</v>
      </c>
      <c r="J123" s="17" t="str">
        <f aca="false">IF(H123="","",H123*(1+I123))</f>
        <v/>
      </c>
      <c r="K123" s="17" t="n">
        <v>20.5</v>
      </c>
      <c r="L123" s="18"/>
      <c r="M123" s="18"/>
      <c r="N123" s="13" t="s">
        <v>410</v>
      </c>
      <c r="O123" s="14"/>
    </row>
    <row r="124" customFormat="false" ht="23.85" hidden="false" customHeight="false" outlineLevel="0" collapsed="false">
      <c r="A124" s="13" t="n">
        <v>122</v>
      </c>
      <c r="B124" s="13" t="s">
        <v>394</v>
      </c>
      <c r="C124" s="13" t="s">
        <v>105</v>
      </c>
      <c r="D124" s="14" t="s">
        <v>378</v>
      </c>
      <c r="E124" s="14" t="s">
        <v>255</v>
      </c>
      <c r="F124" s="13" t="s">
        <v>397</v>
      </c>
      <c r="G124" s="13" t="s">
        <v>374</v>
      </c>
      <c r="H124" s="15"/>
      <c r="I124" s="16" t="n">
        <f aca="false">Instruções!$B$4</f>
        <v>0.4</v>
      </c>
      <c r="J124" s="17" t="str">
        <f aca="false">IF(H124="","",H124*(1+I124))</f>
        <v/>
      </c>
      <c r="K124" s="17"/>
      <c r="L124" s="18"/>
      <c r="M124" s="18"/>
      <c r="N124" s="13" t="s">
        <v>410</v>
      </c>
      <c r="O124" s="14" t="s">
        <v>416</v>
      </c>
    </row>
    <row r="125" customFormat="false" ht="15" hidden="false" customHeight="false" outlineLevel="0" collapsed="false">
      <c r="A125" s="13" t="n">
        <v>123</v>
      </c>
      <c r="B125" s="13" t="s">
        <v>417</v>
      </c>
      <c r="C125" s="13" t="s">
        <v>92</v>
      </c>
      <c r="D125" s="14" t="s">
        <v>418</v>
      </c>
      <c r="E125" s="14" t="s">
        <v>94</v>
      </c>
      <c r="F125" s="13" t="s">
        <v>397</v>
      </c>
      <c r="G125" s="13" t="s">
        <v>374</v>
      </c>
      <c r="H125" s="15"/>
      <c r="I125" s="16" t="n">
        <f aca="false">Instruções!$B$4</f>
        <v>0.4</v>
      </c>
      <c r="J125" s="17" t="str">
        <f aca="false">IF(H125="","",H125*(1+I125))</f>
        <v/>
      </c>
      <c r="K125" s="17" t="n">
        <v>10.5</v>
      </c>
      <c r="L125" s="18"/>
      <c r="M125" s="18"/>
      <c r="N125" s="13" t="s">
        <v>419</v>
      </c>
      <c r="O125" s="14"/>
    </row>
    <row r="126" customFormat="false" ht="15" hidden="false" customHeight="false" outlineLevel="0" collapsed="false">
      <c r="A126" s="13" t="n">
        <v>124</v>
      </c>
      <c r="B126" s="13" t="s">
        <v>417</v>
      </c>
      <c r="C126" s="13" t="s">
        <v>92</v>
      </c>
      <c r="D126" s="14" t="s">
        <v>420</v>
      </c>
      <c r="E126" s="14" t="s">
        <v>94</v>
      </c>
      <c r="F126" s="13" t="s">
        <v>397</v>
      </c>
      <c r="G126" s="13" t="s">
        <v>374</v>
      </c>
      <c r="H126" s="15"/>
      <c r="I126" s="16" t="n">
        <f aca="false">Instruções!$B$4</f>
        <v>0.4</v>
      </c>
      <c r="J126" s="17" t="str">
        <f aca="false">IF(H126="","",H126*(1+I126))</f>
        <v/>
      </c>
      <c r="K126" s="17" t="n">
        <v>10</v>
      </c>
      <c r="L126" s="18"/>
      <c r="M126" s="18"/>
      <c r="N126" s="13" t="s">
        <v>419</v>
      </c>
      <c r="O126" s="14"/>
    </row>
    <row r="127" customFormat="false" ht="23.85" hidden="false" customHeight="false" outlineLevel="0" collapsed="false">
      <c r="A127" s="13" t="n">
        <v>125</v>
      </c>
      <c r="B127" s="13" t="s">
        <v>417</v>
      </c>
      <c r="C127" s="13" t="s">
        <v>92</v>
      </c>
      <c r="D127" s="14" t="s">
        <v>421</v>
      </c>
      <c r="E127" s="14" t="s">
        <v>94</v>
      </c>
      <c r="F127" s="13" t="s">
        <v>397</v>
      </c>
      <c r="G127" s="13" t="s">
        <v>374</v>
      </c>
      <c r="H127" s="15"/>
      <c r="I127" s="16" t="n">
        <f aca="false">Instruções!$B$4</f>
        <v>0.4</v>
      </c>
      <c r="J127" s="17" t="str">
        <f aca="false">IF(H127="","",H127*(1+I127))</f>
        <v/>
      </c>
      <c r="K127" s="17"/>
      <c r="L127" s="18"/>
      <c r="M127" s="18"/>
      <c r="N127" s="13" t="s">
        <v>419</v>
      </c>
      <c r="O127" s="14" t="s">
        <v>422</v>
      </c>
    </row>
    <row r="128" customFormat="false" ht="15" hidden="false" customHeight="false" outlineLevel="0" collapsed="false">
      <c r="A128" s="13" t="n">
        <v>126</v>
      </c>
      <c r="B128" s="13" t="s">
        <v>417</v>
      </c>
      <c r="C128" s="13" t="s">
        <v>79</v>
      </c>
      <c r="D128" s="14" t="s">
        <v>423</v>
      </c>
      <c r="E128" s="14" t="s">
        <v>424</v>
      </c>
      <c r="F128" s="13" t="s">
        <v>397</v>
      </c>
      <c r="G128" s="13" t="s">
        <v>374</v>
      </c>
      <c r="H128" s="15"/>
      <c r="I128" s="16" t="n">
        <f aca="false">Instruções!$B$4</f>
        <v>0.4</v>
      </c>
      <c r="J128" s="17" t="str">
        <f aca="false">IF(H128="","",H128*(1+I128))</f>
        <v/>
      </c>
      <c r="K128" s="17" t="n">
        <v>15</v>
      </c>
      <c r="L128" s="18"/>
      <c r="M128" s="18"/>
      <c r="N128" s="13" t="s">
        <v>425</v>
      </c>
      <c r="O128" s="14"/>
    </row>
    <row r="129" customFormat="false" ht="15" hidden="false" customHeight="false" outlineLevel="0" collapsed="false">
      <c r="A129" s="13" t="n">
        <v>127</v>
      </c>
      <c r="B129" s="13" t="s">
        <v>417</v>
      </c>
      <c r="C129" s="13" t="s">
        <v>79</v>
      </c>
      <c r="D129" s="14" t="s">
        <v>426</v>
      </c>
      <c r="E129" s="14" t="s">
        <v>427</v>
      </c>
      <c r="F129" s="13" t="s">
        <v>397</v>
      </c>
      <c r="G129" s="13" t="s">
        <v>374</v>
      </c>
      <c r="H129" s="15"/>
      <c r="I129" s="16" t="n">
        <f aca="false">Instruções!$B$4</f>
        <v>0.4</v>
      </c>
      <c r="J129" s="17" t="str">
        <f aca="false">IF(H129="","",H129*(1+I129))</f>
        <v/>
      </c>
      <c r="K129" s="17" t="n">
        <v>13.7</v>
      </c>
      <c r="L129" s="18"/>
      <c r="M129" s="18"/>
      <c r="N129" s="13" t="s">
        <v>425</v>
      </c>
      <c r="O129" s="14" t="s">
        <v>428</v>
      </c>
    </row>
    <row r="130" customFormat="false" ht="15" hidden="false" customHeight="false" outlineLevel="0" collapsed="false">
      <c r="A130" s="13" t="n">
        <v>128</v>
      </c>
      <c r="B130" s="13" t="s">
        <v>417</v>
      </c>
      <c r="C130" s="13" t="s">
        <v>67</v>
      </c>
      <c r="D130" s="14" t="s">
        <v>68</v>
      </c>
      <c r="E130" s="14" t="s">
        <v>69</v>
      </c>
      <c r="F130" s="13" t="s">
        <v>397</v>
      </c>
      <c r="G130" s="13" t="s">
        <v>374</v>
      </c>
      <c r="H130" s="15"/>
      <c r="I130" s="16" t="n">
        <f aca="false">Instruções!$B$4</f>
        <v>0.4</v>
      </c>
      <c r="J130" s="17" t="str">
        <f aca="false">IF(H130="","",H130*(1+I130))</f>
        <v/>
      </c>
      <c r="K130" s="17" t="n">
        <v>7.5</v>
      </c>
      <c r="L130" s="18"/>
      <c r="M130" s="18"/>
      <c r="N130" s="13" t="s">
        <v>425</v>
      </c>
      <c r="O130" s="14" t="s">
        <v>429</v>
      </c>
    </row>
    <row r="131" customFormat="false" ht="15" hidden="false" customHeight="false" outlineLevel="0" collapsed="false">
      <c r="A131" s="13" t="n">
        <v>129</v>
      </c>
      <c r="B131" s="13" t="s">
        <v>417</v>
      </c>
      <c r="C131" s="13" t="s">
        <v>75</v>
      </c>
      <c r="D131" s="14" t="s">
        <v>430</v>
      </c>
      <c r="E131" s="14" t="s">
        <v>78</v>
      </c>
      <c r="F131" s="13" t="s">
        <v>397</v>
      </c>
      <c r="G131" s="13" t="s">
        <v>374</v>
      </c>
      <c r="H131" s="15"/>
      <c r="I131" s="16" t="n">
        <f aca="false">Instruções!$B$4</f>
        <v>0.4</v>
      </c>
      <c r="J131" s="17" t="str">
        <f aca="false">IF(H131="","",H131*(1+I131))</f>
        <v/>
      </c>
      <c r="K131" s="17"/>
      <c r="L131" s="18"/>
      <c r="M131" s="18"/>
      <c r="N131" s="13" t="s">
        <v>425</v>
      </c>
      <c r="O131" s="14" t="s">
        <v>252</v>
      </c>
    </row>
    <row r="132" customFormat="false" ht="15" hidden="false" customHeight="false" outlineLevel="0" collapsed="false">
      <c r="A132" s="13" t="n">
        <v>130</v>
      </c>
      <c r="B132" s="13" t="s">
        <v>417</v>
      </c>
      <c r="C132" s="13" t="s">
        <v>111</v>
      </c>
      <c r="D132" s="14" t="s">
        <v>431</v>
      </c>
      <c r="E132" s="14" t="s">
        <v>55</v>
      </c>
      <c r="F132" s="13" t="s">
        <v>397</v>
      </c>
      <c r="G132" s="13" t="s">
        <v>374</v>
      </c>
      <c r="H132" s="15"/>
      <c r="I132" s="16" t="n">
        <f aca="false">Instruções!$B$4</f>
        <v>0.4</v>
      </c>
      <c r="J132" s="17" t="str">
        <f aca="false">IF(H132="","",H132*(1+I132))</f>
        <v/>
      </c>
      <c r="K132" s="17" t="n">
        <v>13.7</v>
      </c>
      <c r="L132" s="18"/>
      <c r="M132" s="18"/>
      <c r="N132" s="13" t="s">
        <v>432</v>
      </c>
      <c r="O132" s="14"/>
    </row>
    <row r="133" customFormat="false" ht="23.85" hidden="false" customHeight="false" outlineLevel="0" collapsed="false">
      <c r="A133" s="13" t="n">
        <v>131</v>
      </c>
      <c r="B133" s="13" t="s">
        <v>417</v>
      </c>
      <c r="C133" s="13" t="s">
        <v>86</v>
      </c>
      <c r="D133" s="14" t="s">
        <v>433</v>
      </c>
      <c r="E133" s="14" t="s">
        <v>434</v>
      </c>
      <c r="F133" s="13" t="s">
        <v>397</v>
      </c>
      <c r="G133" s="13" t="s">
        <v>374</v>
      </c>
      <c r="H133" s="15"/>
      <c r="I133" s="16" t="n">
        <f aca="false">Instruções!$B$4</f>
        <v>0.4</v>
      </c>
      <c r="J133" s="17" t="str">
        <f aca="false">IF(H133="","",H133*(1+I133))</f>
        <v/>
      </c>
      <c r="K133" s="17" t="n">
        <v>13</v>
      </c>
      <c r="L133" s="18"/>
      <c r="M133" s="18"/>
      <c r="N133" s="13" t="s">
        <v>435</v>
      </c>
      <c r="O133" s="14"/>
    </row>
    <row r="134" customFormat="false" ht="23.85" hidden="false" customHeight="false" outlineLevel="0" collapsed="false">
      <c r="A134" s="13" t="n">
        <v>132</v>
      </c>
      <c r="B134" s="13" t="s">
        <v>417</v>
      </c>
      <c r="C134" s="13" t="s">
        <v>86</v>
      </c>
      <c r="D134" s="14" t="s">
        <v>436</v>
      </c>
      <c r="E134" s="14" t="s">
        <v>437</v>
      </c>
      <c r="F134" s="13" t="s">
        <v>397</v>
      </c>
      <c r="G134" s="13" t="s">
        <v>374</v>
      </c>
      <c r="H134" s="15"/>
      <c r="I134" s="16" t="n">
        <f aca="false">Instruções!$B$4</f>
        <v>0.4</v>
      </c>
      <c r="J134" s="17" t="str">
        <f aca="false">IF(H134="","",H134*(1+I134))</f>
        <v/>
      </c>
      <c r="K134" s="17" t="n">
        <v>18</v>
      </c>
      <c r="L134" s="18"/>
      <c r="M134" s="18"/>
      <c r="N134" s="13" t="s">
        <v>435</v>
      </c>
      <c r="O134" s="14"/>
    </row>
    <row r="135" customFormat="false" ht="23.85" hidden="false" customHeight="false" outlineLevel="0" collapsed="false">
      <c r="A135" s="13" t="n">
        <v>133</v>
      </c>
      <c r="B135" s="13" t="s">
        <v>417</v>
      </c>
      <c r="C135" s="13" t="s">
        <v>47</v>
      </c>
      <c r="D135" s="14" t="s">
        <v>438</v>
      </c>
      <c r="E135" s="14" t="s">
        <v>55</v>
      </c>
      <c r="F135" s="13" t="s">
        <v>397</v>
      </c>
      <c r="G135" s="13" t="s">
        <v>374</v>
      </c>
      <c r="H135" s="15"/>
      <c r="I135" s="16" t="n">
        <f aca="false">Instruções!$B$4</f>
        <v>0.4</v>
      </c>
      <c r="J135" s="17" t="str">
        <f aca="false">IF(H135="","",H135*(1+I135))</f>
        <v/>
      </c>
      <c r="K135" s="17" t="n">
        <v>15.3</v>
      </c>
      <c r="L135" s="18"/>
      <c r="M135" s="18"/>
      <c r="N135" s="13" t="s">
        <v>439</v>
      </c>
      <c r="O135" s="14"/>
    </row>
    <row r="136" customFormat="false" ht="23.85" hidden="false" customHeight="false" outlineLevel="0" collapsed="false">
      <c r="A136" s="13" t="n">
        <v>134</v>
      </c>
      <c r="B136" s="13" t="s">
        <v>417</v>
      </c>
      <c r="C136" s="13" t="s">
        <v>47</v>
      </c>
      <c r="D136" s="14" t="s">
        <v>438</v>
      </c>
      <c r="E136" s="14" t="s">
        <v>94</v>
      </c>
      <c r="F136" s="13" t="s">
        <v>397</v>
      </c>
      <c r="G136" s="13" t="s">
        <v>374</v>
      </c>
      <c r="H136" s="15"/>
      <c r="I136" s="16" t="n">
        <f aca="false">Instruções!$B$4</f>
        <v>0.4</v>
      </c>
      <c r="J136" s="17" t="str">
        <f aca="false">IF(H136="","",H136*(1+I136))</f>
        <v/>
      </c>
      <c r="K136" s="17" t="n">
        <v>15.3</v>
      </c>
      <c r="L136" s="18"/>
      <c r="M136" s="18"/>
      <c r="N136" s="13" t="s">
        <v>439</v>
      </c>
      <c r="O136" s="14"/>
    </row>
    <row r="137" customFormat="false" ht="23.85" hidden="false" customHeight="false" outlineLevel="0" collapsed="false">
      <c r="A137" s="13" t="n">
        <v>135</v>
      </c>
      <c r="B137" s="13" t="s">
        <v>417</v>
      </c>
      <c r="C137" s="13" t="s">
        <v>47</v>
      </c>
      <c r="D137" s="14" t="s">
        <v>440</v>
      </c>
      <c r="E137" s="14" t="s">
        <v>55</v>
      </c>
      <c r="F137" s="13" t="s">
        <v>397</v>
      </c>
      <c r="G137" s="13" t="s">
        <v>374</v>
      </c>
      <c r="H137" s="15"/>
      <c r="I137" s="16" t="n">
        <f aca="false">Instruções!$B$4</f>
        <v>0.4</v>
      </c>
      <c r="J137" s="17" t="str">
        <f aca="false">IF(H137="","",H137*(1+I137))</f>
        <v/>
      </c>
      <c r="K137" s="17" t="n">
        <v>15.3</v>
      </c>
      <c r="L137" s="18"/>
      <c r="M137" s="18"/>
      <c r="N137" s="13" t="s">
        <v>439</v>
      </c>
      <c r="O137" s="14"/>
    </row>
    <row r="138" customFormat="false" ht="23.85" hidden="false" customHeight="false" outlineLevel="0" collapsed="false">
      <c r="A138" s="13" t="n">
        <v>136</v>
      </c>
      <c r="B138" s="13" t="s">
        <v>417</v>
      </c>
      <c r="C138" s="13" t="s">
        <v>47</v>
      </c>
      <c r="D138" s="14" t="s">
        <v>440</v>
      </c>
      <c r="E138" s="14" t="s">
        <v>94</v>
      </c>
      <c r="F138" s="13" t="s">
        <v>397</v>
      </c>
      <c r="G138" s="13" t="s">
        <v>374</v>
      </c>
      <c r="H138" s="15"/>
      <c r="I138" s="16" t="n">
        <f aca="false">Instruções!$B$4</f>
        <v>0.4</v>
      </c>
      <c r="J138" s="17" t="str">
        <f aca="false">IF(H138="","",H138*(1+I138))</f>
        <v/>
      </c>
      <c r="K138" s="17" t="n">
        <v>15.3</v>
      </c>
      <c r="L138" s="18"/>
      <c r="M138" s="18"/>
      <c r="N138" s="13" t="s">
        <v>439</v>
      </c>
      <c r="O138" s="14"/>
    </row>
    <row r="139" customFormat="false" ht="15" hidden="false" customHeight="false" outlineLevel="0" collapsed="false">
      <c r="A139" s="13" t="n">
        <v>137</v>
      </c>
      <c r="B139" s="13" t="s">
        <v>417</v>
      </c>
      <c r="C139" s="13" t="s">
        <v>86</v>
      </c>
      <c r="D139" s="14" t="s">
        <v>441</v>
      </c>
      <c r="E139" s="14" t="s">
        <v>437</v>
      </c>
      <c r="F139" s="13" t="s">
        <v>397</v>
      </c>
      <c r="G139" s="13" t="s">
        <v>374</v>
      </c>
      <c r="H139" s="15"/>
      <c r="I139" s="16" t="n">
        <f aca="false">Instruções!$B$4</f>
        <v>0.4</v>
      </c>
      <c r="J139" s="17" t="str">
        <f aca="false">IF(H139="","",H139*(1+I139))</f>
        <v/>
      </c>
      <c r="K139" s="17"/>
      <c r="L139" s="18"/>
      <c r="M139" s="18"/>
      <c r="N139" s="13" t="s">
        <v>439</v>
      </c>
      <c r="O139" s="14" t="s">
        <v>367</v>
      </c>
    </row>
    <row r="140" customFormat="false" ht="23.85" hidden="false" customHeight="false" outlineLevel="0" collapsed="false">
      <c r="A140" s="13" t="n">
        <v>138</v>
      </c>
      <c r="B140" s="13" t="s">
        <v>417</v>
      </c>
      <c r="C140" s="13" t="s">
        <v>58</v>
      </c>
      <c r="D140" s="14" t="s">
        <v>442</v>
      </c>
      <c r="E140" s="14" t="s">
        <v>443</v>
      </c>
      <c r="F140" s="13" t="s">
        <v>397</v>
      </c>
      <c r="G140" s="13" t="s">
        <v>374</v>
      </c>
      <c r="H140" s="15"/>
      <c r="I140" s="16" t="n">
        <f aca="false">Instruções!$B$4</f>
        <v>0.4</v>
      </c>
      <c r="J140" s="17" t="str">
        <f aca="false">IF(H140="","",H140*(1+I140))</f>
        <v/>
      </c>
      <c r="K140" s="17" t="n">
        <v>13</v>
      </c>
      <c r="L140" s="18"/>
      <c r="M140" s="18"/>
      <c r="N140" s="13" t="s">
        <v>444</v>
      </c>
      <c r="O140" s="14"/>
    </row>
    <row r="141" customFormat="false" ht="23.85" hidden="false" customHeight="false" outlineLevel="0" collapsed="false">
      <c r="A141" s="13" t="n">
        <v>139</v>
      </c>
      <c r="B141" s="13" t="s">
        <v>417</v>
      </c>
      <c r="C141" s="13" t="s">
        <v>58</v>
      </c>
      <c r="D141" s="14" t="s">
        <v>445</v>
      </c>
      <c r="E141" s="14" t="s">
        <v>446</v>
      </c>
      <c r="F141" s="13" t="s">
        <v>397</v>
      </c>
      <c r="G141" s="13" t="s">
        <v>374</v>
      </c>
      <c r="H141" s="15"/>
      <c r="I141" s="16" t="n">
        <f aca="false">Instruções!$B$4</f>
        <v>0.4</v>
      </c>
      <c r="J141" s="17" t="str">
        <f aca="false">IF(H141="","",H141*(1+I141))</f>
        <v/>
      </c>
      <c r="K141" s="17" t="n">
        <v>13</v>
      </c>
      <c r="L141" s="18"/>
      <c r="M141" s="18"/>
      <c r="N141" s="13" t="s">
        <v>444</v>
      </c>
      <c r="O141" s="14"/>
    </row>
    <row r="142" customFormat="false" ht="23.85" hidden="false" customHeight="false" outlineLevel="0" collapsed="false">
      <c r="A142" s="13" t="n">
        <v>140</v>
      </c>
      <c r="B142" s="13" t="s">
        <v>417</v>
      </c>
      <c r="C142" s="13" t="s">
        <v>111</v>
      </c>
      <c r="D142" s="14" t="s">
        <v>447</v>
      </c>
      <c r="E142" s="14" t="s">
        <v>94</v>
      </c>
      <c r="F142" s="13" t="s">
        <v>397</v>
      </c>
      <c r="G142" s="13" t="s">
        <v>374</v>
      </c>
      <c r="H142" s="15"/>
      <c r="I142" s="16" t="n">
        <f aca="false">Instruções!$B$4</f>
        <v>0.4</v>
      </c>
      <c r="J142" s="17" t="str">
        <f aca="false">IF(H142="","",H142*(1+I142))</f>
        <v/>
      </c>
      <c r="K142" s="17" t="n">
        <v>14.4</v>
      </c>
      <c r="L142" s="18"/>
      <c r="M142" s="18"/>
      <c r="N142" s="13" t="s">
        <v>444</v>
      </c>
      <c r="O142" s="14"/>
    </row>
    <row r="143" customFormat="false" ht="15" hidden="false" customHeight="false" outlineLevel="0" collapsed="false">
      <c r="A143" s="13" t="n">
        <v>141</v>
      </c>
      <c r="B143" s="13" t="s">
        <v>46</v>
      </c>
      <c r="C143" s="13" t="s">
        <v>111</v>
      </c>
      <c r="D143" s="14" t="s">
        <v>431</v>
      </c>
      <c r="E143" s="14" t="s">
        <v>55</v>
      </c>
      <c r="F143" s="13" t="s">
        <v>56</v>
      </c>
      <c r="G143" s="13" t="s">
        <v>51</v>
      </c>
      <c r="H143" s="15"/>
      <c r="I143" s="16" t="n">
        <f aca="false">Instruções!$B$4</f>
        <v>0.4</v>
      </c>
      <c r="J143" s="17" t="str">
        <f aca="false">IF(H143="","",H143*(1+I143))</f>
        <v/>
      </c>
      <c r="K143" s="17" t="n">
        <v>148.5</v>
      </c>
      <c r="L143" s="18"/>
      <c r="M143" s="18"/>
      <c r="N143" s="13" t="s">
        <v>448</v>
      </c>
      <c r="O143" s="14"/>
    </row>
    <row r="144" customFormat="false" ht="15" hidden="false" customHeight="false" outlineLevel="0" collapsed="false">
      <c r="A144" s="13" t="n">
        <v>142</v>
      </c>
      <c r="B144" s="13" t="s">
        <v>46</v>
      </c>
      <c r="C144" s="13" t="s">
        <v>111</v>
      </c>
      <c r="D144" s="14" t="s">
        <v>449</v>
      </c>
      <c r="E144" s="14" t="s">
        <v>55</v>
      </c>
      <c r="F144" s="13" t="s">
        <v>56</v>
      </c>
      <c r="G144" s="13" t="s">
        <v>51</v>
      </c>
      <c r="H144" s="15"/>
      <c r="I144" s="16" t="n">
        <f aca="false">Instruções!$B$4</f>
        <v>0.4</v>
      </c>
      <c r="J144" s="17" t="str">
        <f aca="false">IF(H144="","",H144*(1+I144))</f>
        <v/>
      </c>
      <c r="K144" s="17" t="n">
        <v>158</v>
      </c>
      <c r="L144" s="18"/>
      <c r="M144" s="18"/>
      <c r="N144" s="13" t="s">
        <v>450</v>
      </c>
      <c r="O144" s="14"/>
    </row>
    <row r="145" customFormat="false" ht="15" hidden="false" customHeight="false" outlineLevel="0" collapsed="false">
      <c r="A145" s="13" t="n">
        <v>143</v>
      </c>
      <c r="B145" s="13" t="s">
        <v>46</v>
      </c>
      <c r="C145" s="13" t="s">
        <v>92</v>
      </c>
      <c r="D145" s="14" t="s">
        <v>451</v>
      </c>
      <c r="E145" s="14" t="s">
        <v>405</v>
      </c>
      <c r="F145" s="13" t="s">
        <v>56</v>
      </c>
      <c r="G145" s="13" t="s">
        <v>51</v>
      </c>
      <c r="H145" s="15"/>
      <c r="I145" s="16" t="n">
        <f aca="false">Instruções!$B$4</f>
        <v>0.4</v>
      </c>
      <c r="J145" s="17" t="str">
        <f aca="false">IF(H145="","",H145*(1+I145))</f>
        <v/>
      </c>
      <c r="K145" s="17" t="n">
        <v>106.3</v>
      </c>
      <c r="L145" s="18"/>
      <c r="M145" s="18"/>
      <c r="N145" s="13" t="s">
        <v>448</v>
      </c>
      <c r="O145" s="14"/>
    </row>
    <row r="146" customFormat="false" ht="23.85" hidden="false" customHeight="false" outlineLevel="0" collapsed="false">
      <c r="A146" s="13" t="n">
        <v>144</v>
      </c>
      <c r="B146" s="13" t="s">
        <v>46</v>
      </c>
      <c r="C146" s="13" t="s">
        <v>47</v>
      </c>
      <c r="D146" s="14" t="s">
        <v>440</v>
      </c>
      <c r="E146" s="14" t="s">
        <v>94</v>
      </c>
      <c r="F146" s="13" t="s">
        <v>56</v>
      </c>
      <c r="G146" s="13" t="s">
        <v>51</v>
      </c>
      <c r="H146" s="15"/>
      <c r="I146" s="16" t="n">
        <f aca="false">Instruções!$B$4</f>
        <v>0.4</v>
      </c>
      <c r="J146" s="17" t="str">
        <f aca="false">IF(H146="","",H146*(1+I146))</f>
        <v/>
      </c>
      <c r="K146" s="17" t="n">
        <v>162.8</v>
      </c>
      <c r="L146" s="18"/>
      <c r="M146" s="18"/>
      <c r="N146" s="13" t="s">
        <v>452</v>
      </c>
      <c r="O146" s="14"/>
    </row>
    <row r="147" customFormat="false" ht="15" hidden="false" customHeight="false" outlineLevel="0" collapsed="false">
      <c r="A147" s="13" t="n">
        <v>145</v>
      </c>
      <c r="B147" s="13" t="s">
        <v>104</v>
      </c>
      <c r="C147" s="13" t="s">
        <v>75</v>
      </c>
      <c r="D147" s="14" t="s">
        <v>413</v>
      </c>
      <c r="E147" s="14" t="s">
        <v>453</v>
      </c>
      <c r="F147" s="13" t="s">
        <v>56</v>
      </c>
      <c r="G147" s="13" t="s">
        <v>51</v>
      </c>
      <c r="H147" s="15"/>
      <c r="I147" s="16" t="n">
        <f aca="false">Instruções!$B$4</f>
        <v>0.4</v>
      </c>
      <c r="J147" s="17" t="str">
        <f aca="false">IF(H147="","",H147*(1+I147))</f>
        <v/>
      </c>
      <c r="K147" s="17" t="n">
        <v>173.3</v>
      </c>
      <c r="L147" s="18"/>
      <c r="M147" s="18"/>
      <c r="N147" s="13" t="s">
        <v>448</v>
      </c>
      <c r="O147" s="14"/>
    </row>
    <row r="148" customFormat="false" ht="15" hidden="false" customHeight="false" outlineLevel="0" collapsed="false">
      <c r="A148" s="13" t="n">
        <v>146</v>
      </c>
      <c r="B148" s="13" t="s">
        <v>104</v>
      </c>
      <c r="C148" s="13" t="s">
        <v>105</v>
      </c>
      <c r="D148" s="14" t="s">
        <v>454</v>
      </c>
      <c r="E148" s="14" t="s">
        <v>109</v>
      </c>
      <c r="F148" s="13" t="s">
        <v>56</v>
      </c>
      <c r="G148" s="13" t="s">
        <v>51</v>
      </c>
      <c r="H148" s="15"/>
      <c r="I148" s="16" t="n">
        <f aca="false">Instruções!$B$4</f>
        <v>0.4</v>
      </c>
      <c r="J148" s="17" t="str">
        <f aca="false">IF(H148="","",H148*(1+I148))</f>
        <v/>
      </c>
      <c r="K148" s="17" t="n">
        <v>153.3</v>
      </c>
      <c r="L148" s="18"/>
      <c r="M148" s="18"/>
      <c r="N148" s="13" t="s">
        <v>455</v>
      </c>
      <c r="O148" s="14"/>
    </row>
    <row r="149" customFormat="false" ht="15" hidden="false" customHeight="false" outlineLevel="0" collapsed="false">
      <c r="A149" s="13" t="n">
        <v>147</v>
      </c>
      <c r="B149" s="13" t="s">
        <v>104</v>
      </c>
      <c r="C149" s="13" t="s">
        <v>105</v>
      </c>
      <c r="D149" s="14" t="s">
        <v>456</v>
      </c>
      <c r="E149" s="14" t="s">
        <v>107</v>
      </c>
      <c r="F149" s="13" t="s">
        <v>56</v>
      </c>
      <c r="G149" s="13" t="s">
        <v>51</v>
      </c>
      <c r="H149" s="15"/>
      <c r="I149" s="16" t="n">
        <f aca="false">Instruções!$B$4</f>
        <v>0.4</v>
      </c>
      <c r="J149" s="17" t="str">
        <f aca="false">IF(H149="","",H149*(1+I149))</f>
        <v/>
      </c>
      <c r="K149" s="17" t="n">
        <v>164.2</v>
      </c>
      <c r="L149" s="18"/>
      <c r="M149" s="18"/>
      <c r="N149" s="13" t="s">
        <v>457</v>
      </c>
      <c r="O149" s="14"/>
    </row>
    <row r="150" customFormat="false" ht="23.85" hidden="false" customHeight="false" outlineLevel="0" collapsed="false">
      <c r="A150" s="13" t="n">
        <v>148</v>
      </c>
      <c r="B150" s="13" t="s">
        <v>104</v>
      </c>
      <c r="C150" s="13" t="s">
        <v>111</v>
      </c>
      <c r="D150" s="14" t="s">
        <v>411</v>
      </c>
      <c r="E150" s="14" t="s">
        <v>113</v>
      </c>
      <c r="F150" s="13" t="s">
        <v>56</v>
      </c>
      <c r="G150" s="13" t="s">
        <v>51</v>
      </c>
      <c r="H150" s="15"/>
      <c r="I150" s="16" t="n">
        <f aca="false">Instruções!$B$4</f>
        <v>0.4</v>
      </c>
      <c r="J150" s="17" t="str">
        <f aca="false">IF(H150="","",H150*(1+I150))</f>
        <v/>
      </c>
      <c r="K150" s="17" t="n">
        <v>225.4</v>
      </c>
      <c r="L150" s="18"/>
      <c r="M150" s="18"/>
      <c r="N150" s="13" t="s">
        <v>457</v>
      </c>
      <c r="O150" s="14" t="s">
        <v>458</v>
      </c>
    </row>
    <row r="151" customFormat="false" ht="15" hidden="false" customHeight="false" outlineLevel="0" collapsed="false">
      <c r="A151" s="13" t="n">
        <v>149</v>
      </c>
      <c r="B151" s="13" t="s">
        <v>46</v>
      </c>
      <c r="C151" s="13" t="s">
        <v>459</v>
      </c>
      <c r="D151" s="14" t="s">
        <v>460</v>
      </c>
      <c r="E151" s="14" t="s">
        <v>461</v>
      </c>
      <c r="F151" s="13" t="s">
        <v>56</v>
      </c>
      <c r="G151" s="13" t="s">
        <v>51</v>
      </c>
      <c r="H151" s="15"/>
      <c r="I151" s="16" t="n">
        <f aca="false">Instruções!$B$4</f>
        <v>0.4</v>
      </c>
      <c r="J151" s="17" t="str">
        <f aca="false">IF(H151="","",H151*(1+I151))</f>
        <v/>
      </c>
      <c r="K151" s="17" t="n">
        <v>93.5</v>
      </c>
      <c r="L151" s="18"/>
      <c r="M151" s="18"/>
      <c r="N151" s="13" t="s">
        <v>455</v>
      </c>
      <c r="O151" s="14"/>
    </row>
    <row r="152" customFormat="false" ht="23.85" hidden="false" customHeight="false" outlineLevel="0" collapsed="false">
      <c r="A152" s="13" t="n">
        <v>150</v>
      </c>
      <c r="B152" s="13" t="s">
        <v>46</v>
      </c>
      <c r="C152" s="13" t="s">
        <v>459</v>
      </c>
      <c r="D152" s="14" t="s">
        <v>462</v>
      </c>
      <c r="E152" s="14" t="s">
        <v>463</v>
      </c>
      <c r="F152" s="13" t="s">
        <v>56</v>
      </c>
      <c r="G152" s="13" t="s">
        <v>51</v>
      </c>
      <c r="H152" s="15"/>
      <c r="I152" s="16" t="n">
        <f aca="false">Instruções!$B$4</f>
        <v>0.4</v>
      </c>
      <c r="J152" s="17" t="str">
        <f aca="false">IF(H152="","",H152*(1+I152))</f>
        <v/>
      </c>
      <c r="K152" s="17" t="n">
        <v>97</v>
      </c>
      <c r="L152" s="18"/>
      <c r="M152" s="18"/>
      <c r="N152" s="13" t="s">
        <v>455</v>
      </c>
      <c r="O152" s="14"/>
    </row>
    <row r="153" customFormat="false" ht="15" hidden="false" customHeight="false" outlineLevel="0" collapsed="false">
      <c r="A153" s="13" t="n">
        <v>151</v>
      </c>
      <c r="B153" s="13" t="s">
        <v>46</v>
      </c>
      <c r="C153" s="13" t="s">
        <v>89</v>
      </c>
      <c r="D153" s="14" t="s">
        <v>90</v>
      </c>
      <c r="E153" s="14" t="s">
        <v>77</v>
      </c>
      <c r="F153" s="13" t="s">
        <v>91</v>
      </c>
      <c r="G153" s="13" t="s">
        <v>51</v>
      </c>
      <c r="H153" s="15"/>
      <c r="I153" s="16" t="n">
        <f aca="false">Instruções!$B$4</f>
        <v>0.4</v>
      </c>
      <c r="J153" s="17" t="str">
        <f aca="false">IF(H153="","",H153*(1+I153))</f>
        <v/>
      </c>
      <c r="K153" s="17" t="n">
        <v>51</v>
      </c>
      <c r="L153" s="18"/>
      <c r="M153" s="18"/>
      <c r="N153" s="13" t="s">
        <v>457</v>
      </c>
      <c r="O153" s="14" t="s">
        <v>464</v>
      </c>
    </row>
    <row r="154" customFormat="false" ht="23.85" hidden="false" customHeight="false" outlineLevel="0" collapsed="false">
      <c r="A154" s="13" t="n">
        <v>152</v>
      </c>
      <c r="B154" s="13" t="s">
        <v>260</v>
      </c>
      <c r="C154" s="13" t="s">
        <v>320</v>
      </c>
      <c r="D154" s="14" t="s">
        <v>465</v>
      </c>
      <c r="E154" s="14" t="s">
        <v>466</v>
      </c>
      <c r="F154" s="13" t="s">
        <v>272</v>
      </c>
      <c r="G154" s="13" t="s">
        <v>264</v>
      </c>
      <c r="H154" s="15"/>
      <c r="I154" s="16" t="n">
        <f aca="false">Instruções!$B$4</f>
        <v>0.4</v>
      </c>
      <c r="J154" s="17" t="str">
        <f aca="false">IF(H154="","",H154*(1+I154))</f>
        <v/>
      </c>
      <c r="K154" s="17" t="n">
        <v>3.7</v>
      </c>
      <c r="L154" s="18"/>
      <c r="M154" s="18"/>
      <c r="N154" s="13" t="s">
        <v>467</v>
      </c>
      <c r="O154" s="14" t="s">
        <v>468</v>
      </c>
    </row>
    <row r="155" customFormat="false" ht="23.85" hidden="false" customHeight="false" outlineLevel="0" collapsed="false">
      <c r="A155" s="13" t="n">
        <v>153</v>
      </c>
      <c r="B155" s="13" t="s">
        <v>260</v>
      </c>
      <c r="C155" s="13" t="s">
        <v>320</v>
      </c>
      <c r="D155" s="14" t="s">
        <v>469</v>
      </c>
      <c r="E155" s="14" t="s">
        <v>470</v>
      </c>
      <c r="F155" s="13" t="s">
        <v>272</v>
      </c>
      <c r="G155" s="13" t="s">
        <v>264</v>
      </c>
      <c r="H155" s="15"/>
      <c r="I155" s="16" t="n">
        <f aca="false">Instruções!$B$4</f>
        <v>0.4</v>
      </c>
      <c r="J155" s="17" t="str">
        <f aca="false">IF(H155="","",H155*(1+I155))</f>
        <v/>
      </c>
      <c r="K155" s="17" t="n">
        <v>3.7</v>
      </c>
      <c r="L155" s="18"/>
      <c r="M155" s="18"/>
      <c r="N155" s="13" t="s">
        <v>467</v>
      </c>
      <c r="O155" s="14" t="s">
        <v>468</v>
      </c>
    </row>
    <row r="156" customFormat="false" ht="15" hidden="false" customHeight="false" outlineLevel="0" collapsed="false">
      <c r="A156" s="13" t="n">
        <v>154</v>
      </c>
      <c r="B156" s="13" t="s">
        <v>260</v>
      </c>
      <c r="C156" s="13" t="s">
        <v>320</v>
      </c>
      <c r="D156" s="14" t="s">
        <v>469</v>
      </c>
      <c r="E156" s="14" t="s">
        <v>471</v>
      </c>
      <c r="F156" s="13" t="s">
        <v>272</v>
      </c>
      <c r="G156" s="13" t="s">
        <v>264</v>
      </c>
      <c r="H156" s="15"/>
      <c r="I156" s="16" t="n">
        <f aca="false">Instruções!$B$4</f>
        <v>0.4</v>
      </c>
      <c r="J156" s="17" t="str">
        <f aca="false">IF(H156="","",H156*(1+I156))</f>
        <v/>
      </c>
      <c r="K156" s="17" t="n">
        <v>3.7</v>
      </c>
      <c r="L156" s="18"/>
      <c r="M156" s="18"/>
      <c r="N156" s="13" t="s">
        <v>467</v>
      </c>
      <c r="O156" s="14" t="s">
        <v>468</v>
      </c>
    </row>
    <row r="157" customFormat="false" ht="15" hidden="false" customHeight="false" outlineLevel="0" collapsed="false">
      <c r="A157" s="13" t="n">
        <v>155</v>
      </c>
      <c r="B157" s="13" t="s">
        <v>115</v>
      </c>
      <c r="C157" s="13" t="s">
        <v>472</v>
      </c>
      <c r="D157" s="14" t="s">
        <v>473</v>
      </c>
      <c r="E157" s="14" t="s">
        <v>327</v>
      </c>
      <c r="F157" s="13" t="s">
        <v>64</v>
      </c>
      <c r="G157" s="13" t="s">
        <v>164</v>
      </c>
      <c r="H157" s="15"/>
      <c r="I157" s="16" t="n">
        <f aca="false">Instruções!$B$4</f>
        <v>0.4</v>
      </c>
      <c r="J157" s="17" t="str">
        <f aca="false">IF(H157="","",H157*(1+I157))</f>
        <v/>
      </c>
      <c r="K157" s="17" t="n">
        <v>12</v>
      </c>
      <c r="L157" s="18"/>
      <c r="M157" s="18"/>
      <c r="N157" s="13" t="s">
        <v>474</v>
      </c>
      <c r="O157" s="14" t="s">
        <v>475</v>
      </c>
    </row>
    <row r="158" customFormat="false" ht="23.85" hidden="false" customHeight="false" outlineLevel="0" collapsed="false">
      <c r="A158" s="13" t="n">
        <v>156</v>
      </c>
      <c r="B158" s="13" t="s">
        <v>115</v>
      </c>
      <c r="C158" s="13" t="s">
        <v>131</v>
      </c>
      <c r="D158" s="14" t="s">
        <v>476</v>
      </c>
      <c r="E158" s="14" t="s">
        <v>477</v>
      </c>
      <c r="F158" s="13" t="s">
        <v>478</v>
      </c>
      <c r="G158" s="13" t="s">
        <v>118</v>
      </c>
      <c r="H158" s="15"/>
      <c r="I158" s="16" t="n">
        <f aca="false">Instruções!$B$4</f>
        <v>0.4</v>
      </c>
      <c r="J158" s="17" t="str">
        <f aca="false">IF(H158="","",H158*(1+I158))</f>
        <v/>
      </c>
      <c r="K158" s="17" t="n">
        <v>5</v>
      </c>
      <c r="L158" s="18"/>
      <c r="M158" s="18"/>
      <c r="N158" s="13" t="s">
        <v>479</v>
      </c>
      <c r="O158" s="14" t="s">
        <v>480</v>
      </c>
    </row>
    <row r="159" customFormat="false" ht="15" hidden="false" customHeight="false" outlineLevel="0" collapsed="false">
      <c r="A159" s="13" t="n">
        <v>157</v>
      </c>
      <c r="B159" s="13" t="s">
        <v>253</v>
      </c>
      <c r="C159" s="13" t="s">
        <v>481</v>
      </c>
      <c r="D159" s="14" t="s">
        <v>482</v>
      </c>
      <c r="E159" s="14" t="s">
        <v>483</v>
      </c>
      <c r="F159" s="13" t="s">
        <v>484</v>
      </c>
      <c r="G159" s="13" t="s">
        <v>118</v>
      </c>
      <c r="H159" s="15"/>
      <c r="I159" s="16" t="n">
        <f aca="false">Instruções!$B$4</f>
        <v>0.4</v>
      </c>
      <c r="J159" s="17" t="str">
        <f aca="false">IF(H159="","",H159*(1+I159))</f>
        <v/>
      </c>
      <c r="K159" s="17" t="n">
        <v>7.4</v>
      </c>
      <c r="L159" s="18"/>
      <c r="M159" s="18"/>
      <c r="N159" s="13" t="s">
        <v>485</v>
      </c>
      <c r="O159" s="14"/>
    </row>
    <row r="160" customFormat="false" ht="15" hidden="false" customHeight="false" outlineLevel="0" collapsed="false">
      <c r="A160" s="13" t="n">
        <v>158</v>
      </c>
      <c r="B160" s="13" t="s">
        <v>253</v>
      </c>
      <c r="C160" s="13" t="s">
        <v>58</v>
      </c>
      <c r="D160" s="14" t="s">
        <v>486</v>
      </c>
      <c r="E160" s="14" t="s">
        <v>487</v>
      </c>
      <c r="F160" s="13" t="s">
        <v>484</v>
      </c>
      <c r="G160" s="13" t="s">
        <v>118</v>
      </c>
      <c r="H160" s="15"/>
      <c r="I160" s="16" t="n">
        <f aca="false">Instruções!$B$4</f>
        <v>0.4</v>
      </c>
      <c r="J160" s="17" t="str">
        <f aca="false">IF(H160="","",H160*(1+I160))</f>
        <v/>
      </c>
      <c r="K160" s="17" t="n">
        <v>6.7</v>
      </c>
      <c r="L160" s="18"/>
      <c r="M160" s="18"/>
      <c r="N160" s="13" t="s">
        <v>488</v>
      </c>
      <c r="O160" s="14"/>
    </row>
    <row r="161" customFormat="false" ht="15" hidden="false" customHeight="false" outlineLevel="0" collapsed="false">
      <c r="A161" s="13" t="n">
        <v>159</v>
      </c>
      <c r="B161" s="13" t="s">
        <v>159</v>
      </c>
      <c r="C161" s="13" t="s">
        <v>489</v>
      </c>
      <c r="D161" s="14" t="s">
        <v>490</v>
      </c>
      <c r="E161" s="14" t="s">
        <v>208</v>
      </c>
      <c r="F161" s="13" t="s">
        <v>168</v>
      </c>
      <c r="G161" s="13" t="s">
        <v>164</v>
      </c>
      <c r="H161" s="15"/>
      <c r="I161" s="16" t="n">
        <f aca="false">Instruções!$B$4</f>
        <v>0.4</v>
      </c>
      <c r="J161" s="17" t="str">
        <f aca="false">IF(H161="","",H161*(1+I161))</f>
        <v/>
      </c>
      <c r="K161" s="17" t="n">
        <v>8</v>
      </c>
      <c r="L161" s="18"/>
      <c r="M161" s="18"/>
      <c r="N161" s="13" t="s">
        <v>491</v>
      </c>
      <c r="O161" s="14"/>
    </row>
    <row r="162" customFormat="false" ht="15" hidden="false" customHeight="false" outlineLevel="0" collapsed="false">
      <c r="A162" s="13" t="n">
        <v>160</v>
      </c>
      <c r="B162" s="13" t="s">
        <v>190</v>
      </c>
      <c r="C162" s="13" t="s">
        <v>160</v>
      </c>
      <c r="D162" s="14" t="s">
        <v>492</v>
      </c>
      <c r="E162" s="14" t="s">
        <v>185</v>
      </c>
      <c r="F162" s="13" t="s">
        <v>493</v>
      </c>
      <c r="G162" s="13" t="s">
        <v>494</v>
      </c>
      <c r="H162" s="15"/>
      <c r="I162" s="16" t="n">
        <f aca="false">Instruções!$B$4</f>
        <v>0.4</v>
      </c>
      <c r="J162" s="17" t="str">
        <f aca="false">IF(H162="","",H162*(1+I162))</f>
        <v/>
      </c>
      <c r="K162" s="17" t="n">
        <v>16</v>
      </c>
      <c r="L162" s="18"/>
      <c r="M162" s="18"/>
      <c r="N162" s="13" t="s">
        <v>491</v>
      </c>
      <c r="O162" s="14"/>
    </row>
    <row r="163" customFormat="false" ht="15" hidden="false" customHeight="false" outlineLevel="0" collapsed="false">
      <c r="A163" s="13" t="n">
        <v>161</v>
      </c>
      <c r="B163" s="13" t="s">
        <v>187</v>
      </c>
      <c r="C163" s="13" t="s">
        <v>160</v>
      </c>
      <c r="D163" s="14" t="s">
        <v>495</v>
      </c>
      <c r="E163" s="14" t="s">
        <v>496</v>
      </c>
      <c r="F163" s="13" t="s">
        <v>168</v>
      </c>
      <c r="G163" s="13" t="s">
        <v>164</v>
      </c>
      <c r="H163" s="15"/>
      <c r="I163" s="16" t="n">
        <f aca="false">Instruções!$B$4</f>
        <v>0.4</v>
      </c>
      <c r="J163" s="17" t="str">
        <f aca="false">IF(H163="","",H163*(1+I163))</f>
        <v/>
      </c>
      <c r="K163" s="17" t="n">
        <v>3</v>
      </c>
      <c r="L163" s="18"/>
      <c r="M163" s="18"/>
      <c r="N163" s="13" t="s">
        <v>497</v>
      </c>
      <c r="O163" s="14" t="s">
        <v>498</v>
      </c>
    </row>
    <row r="164" customFormat="false" ht="15" hidden="false" customHeight="false" outlineLevel="0" collapsed="false">
      <c r="A164" s="13" t="n">
        <v>162</v>
      </c>
      <c r="B164" s="13" t="s">
        <v>187</v>
      </c>
      <c r="C164" s="13" t="s">
        <v>160</v>
      </c>
      <c r="D164" s="14" t="s">
        <v>499</v>
      </c>
      <c r="E164" s="14" t="s">
        <v>496</v>
      </c>
      <c r="F164" s="13" t="s">
        <v>168</v>
      </c>
      <c r="G164" s="13" t="s">
        <v>164</v>
      </c>
      <c r="H164" s="15"/>
      <c r="I164" s="16" t="n">
        <f aca="false">Instruções!$B$4</f>
        <v>0.4</v>
      </c>
      <c r="J164" s="17" t="str">
        <f aca="false">IF(H164="","",H164*(1+I164))</f>
        <v/>
      </c>
      <c r="K164" s="17" t="n">
        <v>3.5</v>
      </c>
      <c r="L164" s="18"/>
      <c r="M164" s="18"/>
      <c r="N164" s="13" t="s">
        <v>497</v>
      </c>
      <c r="O164" s="14"/>
    </row>
    <row r="165" customFormat="false" ht="23.85" hidden="false" customHeight="false" outlineLevel="0" collapsed="false">
      <c r="A165" s="13" t="n">
        <v>163</v>
      </c>
      <c r="B165" s="13" t="s">
        <v>187</v>
      </c>
      <c r="C165" s="13" t="s">
        <v>160</v>
      </c>
      <c r="D165" s="14" t="s">
        <v>500</v>
      </c>
      <c r="E165" s="14" t="s">
        <v>501</v>
      </c>
      <c r="F165" s="13" t="s">
        <v>168</v>
      </c>
      <c r="G165" s="13" t="s">
        <v>164</v>
      </c>
      <c r="H165" s="15"/>
      <c r="I165" s="16" t="n">
        <f aca="false">Instruções!$B$4</f>
        <v>0.4</v>
      </c>
      <c r="J165" s="17" t="str">
        <f aca="false">IF(H165="","",H165*(1+I165))</f>
        <v/>
      </c>
      <c r="K165" s="17" t="n">
        <v>15</v>
      </c>
      <c r="L165" s="18"/>
      <c r="M165" s="18"/>
      <c r="N165" s="13" t="s">
        <v>502</v>
      </c>
      <c r="O165" s="14" t="s">
        <v>503</v>
      </c>
    </row>
    <row r="166" customFormat="false" ht="15" hidden="false" customHeight="false" outlineLevel="0" collapsed="false">
      <c r="A166" s="13" t="n">
        <v>164</v>
      </c>
      <c r="B166" s="13" t="s">
        <v>187</v>
      </c>
      <c r="C166" s="13" t="s">
        <v>160</v>
      </c>
      <c r="D166" s="14" t="s">
        <v>504</v>
      </c>
      <c r="E166" s="14" t="s">
        <v>505</v>
      </c>
      <c r="F166" s="13" t="s">
        <v>168</v>
      </c>
      <c r="G166" s="13" t="s">
        <v>164</v>
      </c>
      <c r="H166" s="15"/>
      <c r="I166" s="16" t="n">
        <f aca="false">Instruções!$B$4</f>
        <v>0.4</v>
      </c>
      <c r="J166" s="17" t="str">
        <f aca="false">IF(H166="","",H166*(1+I166))</f>
        <v/>
      </c>
      <c r="K166" s="17"/>
      <c r="L166" s="18"/>
      <c r="M166" s="18"/>
      <c r="N166" s="13" t="s">
        <v>506</v>
      </c>
      <c r="O166" s="14" t="s">
        <v>252</v>
      </c>
    </row>
    <row r="167" customFormat="false" ht="15" hidden="false" customHeight="false" outlineLevel="0" collapsed="false">
      <c r="A167" s="13" t="n">
        <v>165</v>
      </c>
      <c r="B167" s="13" t="s">
        <v>187</v>
      </c>
      <c r="C167" s="13" t="s">
        <v>160</v>
      </c>
      <c r="D167" s="14" t="s">
        <v>507</v>
      </c>
      <c r="E167" s="14" t="s">
        <v>508</v>
      </c>
      <c r="F167" s="13" t="s">
        <v>168</v>
      </c>
      <c r="G167" s="13" t="s">
        <v>164</v>
      </c>
      <c r="H167" s="15"/>
      <c r="I167" s="16" t="n">
        <f aca="false">Instruções!$B$4</f>
        <v>0.4</v>
      </c>
      <c r="J167" s="17" t="str">
        <f aca="false">IF(H167="","",H167*(1+I167))</f>
        <v/>
      </c>
      <c r="K167" s="17"/>
      <c r="L167" s="18"/>
      <c r="M167" s="18"/>
      <c r="N167" s="13" t="s">
        <v>506</v>
      </c>
      <c r="O167" s="14" t="s">
        <v>252</v>
      </c>
    </row>
    <row r="168" customFormat="false" ht="15" hidden="false" customHeight="false" outlineLevel="0" collapsed="false">
      <c r="A168" s="13" t="n">
        <v>166</v>
      </c>
      <c r="B168" s="13" t="s">
        <v>187</v>
      </c>
      <c r="C168" s="13" t="s">
        <v>160</v>
      </c>
      <c r="D168" s="14" t="s">
        <v>509</v>
      </c>
      <c r="E168" s="14" t="s">
        <v>510</v>
      </c>
      <c r="F168" s="13" t="s">
        <v>168</v>
      </c>
      <c r="G168" s="13" t="s">
        <v>164</v>
      </c>
      <c r="H168" s="15"/>
      <c r="I168" s="16" t="n">
        <f aca="false">Instruções!$B$4</f>
        <v>0.4</v>
      </c>
      <c r="J168" s="17" t="str">
        <f aca="false">IF(H168="","",H168*(1+I168))</f>
        <v/>
      </c>
      <c r="K168" s="17"/>
      <c r="L168" s="18"/>
      <c r="M168" s="18"/>
      <c r="N168" s="13" t="s">
        <v>506</v>
      </c>
      <c r="O168" s="14" t="s">
        <v>252</v>
      </c>
    </row>
    <row r="169" customFormat="false" ht="15" hidden="false" customHeight="false" outlineLevel="0" collapsed="false">
      <c r="A169" s="13" t="n">
        <v>167</v>
      </c>
      <c r="B169" s="13" t="s">
        <v>130</v>
      </c>
      <c r="C169" s="13" t="s">
        <v>511</v>
      </c>
      <c r="D169" s="14" t="s">
        <v>512</v>
      </c>
      <c r="E169" s="14" t="s">
        <v>354</v>
      </c>
      <c r="F169" s="13" t="s">
        <v>168</v>
      </c>
      <c r="G169" s="13" t="s">
        <v>164</v>
      </c>
      <c r="H169" s="15"/>
      <c r="I169" s="16" t="n">
        <f aca="false">Instruções!$B$4</f>
        <v>0.4</v>
      </c>
      <c r="J169" s="17" t="str">
        <f aca="false">IF(H169="","",H169*(1+I169))</f>
        <v/>
      </c>
      <c r="K169" s="17"/>
      <c r="L169" s="18"/>
      <c r="M169" s="18"/>
      <c r="N169" s="13" t="s">
        <v>506</v>
      </c>
      <c r="O169" s="14" t="s">
        <v>252</v>
      </c>
    </row>
    <row r="170" customFormat="false" ht="15" hidden="false" customHeight="false" outlineLevel="0" collapsed="false">
      <c r="A170" s="13" t="n">
        <v>168</v>
      </c>
      <c r="B170" s="13" t="s">
        <v>130</v>
      </c>
      <c r="C170" s="13" t="s">
        <v>513</v>
      </c>
      <c r="D170" s="14" t="s">
        <v>514</v>
      </c>
      <c r="E170" s="14" t="s">
        <v>515</v>
      </c>
      <c r="F170" s="13" t="s">
        <v>516</v>
      </c>
      <c r="G170" s="13" t="s">
        <v>516</v>
      </c>
      <c r="H170" s="15"/>
      <c r="I170" s="16" t="n">
        <f aca="false">Instruções!$B$4</f>
        <v>0.4</v>
      </c>
      <c r="J170" s="17" t="str">
        <f aca="false">IF(H170="","",H170*(1+I170))</f>
        <v/>
      </c>
      <c r="K170" s="17"/>
      <c r="L170" s="18"/>
      <c r="M170" s="18"/>
      <c r="N170" s="13" t="s">
        <v>506</v>
      </c>
      <c r="O170" s="14" t="s">
        <v>252</v>
      </c>
    </row>
    <row r="171" customFormat="false" ht="23.85" hidden="false" customHeight="false" outlineLevel="0" collapsed="false">
      <c r="A171" s="13" t="n">
        <v>169</v>
      </c>
      <c r="B171" s="13" t="s">
        <v>159</v>
      </c>
      <c r="C171" s="13" t="s">
        <v>160</v>
      </c>
      <c r="D171" s="14" t="s">
        <v>517</v>
      </c>
      <c r="E171" s="14" t="s">
        <v>518</v>
      </c>
      <c r="F171" s="13" t="s">
        <v>168</v>
      </c>
      <c r="G171" s="13" t="s">
        <v>519</v>
      </c>
      <c r="H171" s="15"/>
      <c r="I171" s="16" t="n">
        <f aca="false">Instruções!$B$4</f>
        <v>0.4</v>
      </c>
      <c r="J171" s="17" t="str">
        <f aca="false">IF(H171="","",H171*(1+I171))</f>
        <v/>
      </c>
      <c r="K171" s="17"/>
      <c r="L171" s="18"/>
      <c r="M171" s="18"/>
      <c r="N171" s="13" t="s">
        <v>506</v>
      </c>
      <c r="O171" s="14" t="s">
        <v>252</v>
      </c>
    </row>
    <row r="172" customFormat="false" ht="23.85" hidden="false" customHeight="false" outlineLevel="0" collapsed="false">
      <c r="A172" s="13" t="n">
        <v>170</v>
      </c>
      <c r="B172" s="13" t="s">
        <v>159</v>
      </c>
      <c r="C172" s="13" t="s">
        <v>520</v>
      </c>
      <c r="D172" s="14" t="s">
        <v>521</v>
      </c>
      <c r="E172" s="14" t="s">
        <v>518</v>
      </c>
      <c r="F172" s="13" t="s">
        <v>168</v>
      </c>
      <c r="G172" s="13" t="s">
        <v>164</v>
      </c>
      <c r="H172" s="15"/>
      <c r="I172" s="16" t="n">
        <f aca="false">Instruções!$B$4</f>
        <v>0.4</v>
      </c>
      <c r="J172" s="17" t="str">
        <f aca="false">IF(H172="","",H172*(1+I172))</f>
        <v/>
      </c>
      <c r="K172" s="17"/>
      <c r="L172" s="18"/>
      <c r="M172" s="18"/>
      <c r="N172" s="13" t="s">
        <v>506</v>
      </c>
      <c r="O172" s="14" t="s">
        <v>252</v>
      </c>
    </row>
    <row r="173" customFormat="false" ht="23.85" hidden="false" customHeight="false" outlineLevel="0" collapsed="false">
      <c r="A173" s="13" t="n">
        <v>171</v>
      </c>
      <c r="B173" s="13" t="s">
        <v>159</v>
      </c>
      <c r="C173" s="13" t="s">
        <v>160</v>
      </c>
      <c r="D173" s="14" t="s">
        <v>522</v>
      </c>
      <c r="E173" s="14" t="s">
        <v>518</v>
      </c>
      <c r="F173" s="13" t="s">
        <v>519</v>
      </c>
      <c r="G173" s="13" t="s">
        <v>519</v>
      </c>
      <c r="H173" s="15"/>
      <c r="I173" s="16" t="n">
        <f aca="false">Instruções!$B$4</f>
        <v>0.4</v>
      </c>
      <c r="J173" s="17" t="str">
        <f aca="false">IF(H173="","",H173*(1+I173))</f>
        <v/>
      </c>
      <c r="K173" s="17" t="n">
        <v>23.8</v>
      </c>
      <c r="L173" s="18"/>
      <c r="M173" s="18"/>
      <c r="N173" s="13" t="s">
        <v>506</v>
      </c>
      <c r="O173" s="14"/>
    </row>
    <row r="174" customFormat="false" ht="15" hidden="false" customHeight="false" outlineLevel="0" collapsed="false">
      <c r="A174" s="13" t="n">
        <v>172</v>
      </c>
      <c r="B174" s="13" t="s">
        <v>159</v>
      </c>
      <c r="C174" s="13" t="s">
        <v>511</v>
      </c>
      <c r="D174" s="14" t="s">
        <v>523</v>
      </c>
      <c r="E174" s="14" t="s">
        <v>524</v>
      </c>
      <c r="F174" s="13" t="s">
        <v>168</v>
      </c>
      <c r="G174" s="13" t="s">
        <v>171</v>
      </c>
      <c r="H174" s="15"/>
      <c r="I174" s="16" t="n">
        <f aca="false">Instruções!$B$4</f>
        <v>0.4</v>
      </c>
      <c r="J174" s="17" t="str">
        <f aca="false">IF(H174="","",H174*(1+I174))</f>
        <v/>
      </c>
      <c r="K174" s="17" t="n">
        <v>16</v>
      </c>
      <c r="L174" s="18"/>
      <c r="M174" s="18"/>
      <c r="N174" s="13" t="s">
        <v>525</v>
      </c>
      <c r="O174" s="14"/>
    </row>
    <row r="175" customFormat="false" ht="23.85" hidden="false" customHeight="false" outlineLevel="0" collapsed="false">
      <c r="A175" s="13" t="n">
        <v>173</v>
      </c>
      <c r="B175" s="13" t="s">
        <v>159</v>
      </c>
      <c r="C175" s="13" t="s">
        <v>160</v>
      </c>
      <c r="D175" s="14" t="s">
        <v>526</v>
      </c>
      <c r="E175" s="14" t="s">
        <v>527</v>
      </c>
      <c r="F175" s="13" t="s">
        <v>168</v>
      </c>
      <c r="G175" s="13" t="s">
        <v>164</v>
      </c>
      <c r="H175" s="15"/>
      <c r="I175" s="16" t="n">
        <f aca="false">Instruções!$B$4</f>
        <v>0.4</v>
      </c>
      <c r="J175" s="17" t="str">
        <f aca="false">IF(H175="","",H175*(1+I175))</f>
        <v/>
      </c>
      <c r="K175" s="17" t="n">
        <v>15</v>
      </c>
      <c r="L175" s="18"/>
      <c r="M175" s="18"/>
      <c r="N175" s="13" t="s">
        <v>506</v>
      </c>
      <c r="O175" s="14" t="s">
        <v>528</v>
      </c>
    </row>
    <row r="176" customFormat="false" ht="15" hidden="false" customHeight="false" outlineLevel="0" collapsed="false">
      <c r="A176" s="13" t="n">
        <v>174</v>
      </c>
      <c r="B176" s="13" t="s">
        <v>187</v>
      </c>
      <c r="C176" s="13" t="s">
        <v>160</v>
      </c>
      <c r="D176" s="14" t="s">
        <v>529</v>
      </c>
      <c r="E176" s="14" t="s">
        <v>530</v>
      </c>
      <c r="F176" s="13" t="s">
        <v>118</v>
      </c>
      <c r="G176" s="13" t="s">
        <v>118</v>
      </c>
      <c r="H176" s="15"/>
      <c r="I176" s="16" t="n">
        <f aca="false">Instruções!$B$4</f>
        <v>0.4</v>
      </c>
      <c r="J176" s="17" t="str">
        <f aca="false">IF(H176="","",H176*(1+I176))</f>
        <v/>
      </c>
      <c r="K176" s="17" t="n">
        <v>2.5</v>
      </c>
      <c r="L176" s="18"/>
      <c r="M176" s="18"/>
      <c r="N176" s="13" t="s">
        <v>506</v>
      </c>
      <c r="O176" s="14"/>
    </row>
    <row r="177" customFormat="false" ht="35.05" hidden="false" customHeight="false" outlineLevel="0" collapsed="false">
      <c r="A177" s="13" t="n">
        <v>175</v>
      </c>
      <c r="B177" s="13" t="s">
        <v>46</v>
      </c>
      <c r="C177" s="13" t="s">
        <v>79</v>
      </c>
      <c r="D177" s="14" t="s">
        <v>82</v>
      </c>
      <c r="E177" s="14" t="s">
        <v>531</v>
      </c>
      <c r="F177" s="13" t="s">
        <v>532</v>
      </c>
      <c r="G177" s="13" t="s">
        <v>51</v>
      </c>
      <c r="H177" s="15"/>
      <c r="I177" s="16" t="n">
        <f aca="false">Instruções!$B$4</f>
        <v>0.4</v>
      </c>
      <c r="J177" s="17" t="str">
        <f aca="false">IF(H177="","",H177*(1+I177))</f>
        <v/>
      </c>
      <c r="K177" s="17" t="n">
        <v>25</v>
      </c>
      <c r="L177" s="18"/>
      <c r="M177" s="18"/>
      <c r="N177" s="13" t="s">
        <v>533</v>
      </c>
      <c r="O177" s="14" t="s">
        <v>534</v>
      </c>
    </row>
    <row r="179" customFormat="false" ht="15" hidden="false" customHeight="false" outlineLevel="0" collapsed="false">
      <c r="D179" s="3" t="s">
        <v>535</v>
      </c>
      <c r="H179" s="6" t="n">
        <f aca="false">COUNTA(D3:D177)</f>
        <v>175</v>
      </c>
    </row>
    <row r="180" customFormat="false" ht="15" hidden="false" customHeight="false" outlineLevel="0" collapsed="false">
      <c r="D180" s="3" t="s">
        <v>536</v>
      </c>
      <c r="H180" s="6" t="n">
        <f aca="false">COUNT(H3:H177)</f>
        <v>0</v>
      </c>
    </row>
    <row r="181" customFormat="false" ht="15" hidden="false" customHeight="false" outlineLevel="0" collapsed="false">
      <c r="D181" s="3" t="s">
        <v>537</v>
      </c>
      <c r="H181" s="6" t="n">
        <f aca="false">COUNTIF(O3:O177,"*CONFIRMAR*")</f>
        <v>62</v>
      </c>
    </row>
    <row r="183" customFormat="false" ht="15" hidden="false" customHeight="false" outlineLevel="0" collapsed="false">
      <c r="D183" s="5" t="s">
        <v>538</v>
      </c>
    </row>
  </sheetData>
  <autoFilter ref="A1:O17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539</v>
      </c>
    </row>
    <row r="3" customFormat="false" ht="15" hidden="false" customHeight="false" outlineLevel="0" collapsed="false">
      <c r="A3" s="19" t="s">
        <v>540</v>
      </c>
      <c r="B3" s="19" t="s">
        <v>541</v>
      </c>
      <c r="C3" s="19" t="s">
        <v>542</v>
      </c>
    </row>
    <row r="4" customFormat="false" ht="15" hidden="false" customHeight="false" outlineLevel="0" collapsed="false">
      <c r="A4" s="14" t="s">
        <v>543</v>
      </c>
      <c r="B4" s="14" t="s">
        <v>544</v>
      </c>
      <c r="C4" s="14" t="s">
        <v>545</v>
      </c>
    </row>
    <row r="5" customFormat="false" ht="15" hidden="false" customHeight="false" outlineLevel="0" collapsed="false">
      <c r="A5" s="14" t="s">
        <v>546</v>
      </c>
      <c r="B5" s="14" t="s">
        <v>544</v>
      </c>
      <c r="C5" s="14" t="s">
        <v>547</v>
      </c>
    </row>
    <row r="6" customFormat="false" ht="15" hidden="false" customHeight="false" outlineLevel="0" collapsed="false">
      <c r="A6" s="14" t="s">
        <v>41</v>
      </c>
      <c r="B6" s="14" t="s">
        <v>544</v>
      </c>
      <c r="C6" s="14" t="s">
        <v>548</v>
      </c>
    </row>
    <row r="7" customFormat="false" ht="15" hidden="false" customHeight="false" outlineLevel="0" collapsed="false">
      <c r="A7" s="14" t="s">
        <v>549</v>
      </c>
      <c r="B7" s="14" t="s">
        <v>544</v>
      </c>
      <c r="C7" s="14" t="s">
        <v>550</v>
      </c>
    </row>
    <row r="8" customFormat="false" ht="15" hidden="false" customHeight="false" outlineLevel="0" collapsed="false">
      <c r="A8" s="14" t="s">
        <v>32</v>
      </c>
      <c r="B8" s="14" t="s">
        <v>544</v>
      </c>
      <c r="C8" s="14" t="s">
        <v>551</v>
      </c>
    </row>
    <row r="9" customFormat="false" ht="15" hidden="false" customHeight="false" outlineLevel="0" collapsed="false">
      <c r="A9" s="14" t="s">
        <v>552</v>
      </c>
      <c r="B9" s="14" t="s">
        <v>544</v>
      </c>
      <c r="C9" s="14" t="s">
        <v>553</v>
      </c>
    </row>
    <row r="10" customFormat="false" ht="15" hidden="false" customHeight="false" outlineLevel="0" collapsed="false">
      <c r="A10" s="14" t="s">
        <v>554</v>
      </c>
      <c r="B10" s="14" t="s">
        <v>544</v>
      </c>
      <c r="C10" s="14" t="s">
        <v>555</v>
      </c>
    </row>
    <row r="11" customFormat="false" ht="15" hidden="false" customHeight="false" outlineLevel="0" collapsed="false">
      <c r="A11" s="14" t="s">
        <v>556</v>
      </c>
      <c r="B11" s="14" t="s">
        <v>544</v>
      </c>
      <c r="C11" s="14" t="s">
        <v>557</v>
      </c>
    </row>
    <row r="12" customFormat="false" ht="15" hidden="false" customHeight="false" outlineLevel="0" collapsed="false">
      <c r="A12" s="14" t="s">
        <v>558</v>
      </c>
      <c r="B12" s="14" t="s">
        <v>544</v>
      </c>
      <c r="C12" s="14" t="s">
        <v>559</v>
      </c>
    </row>
    <row r="13" customFormat="false" ht="15" hidden="false" customHeight="false" outlineLevel="0" collapsed="false">
      <c r="A13" s="14" t="s">
        <v>560</v>
      </c>
      <c r="B13" s="14" t="s">
        <v>544</v>
      </c>
      <c r="C13" s="14" t="s">
        <v>561</v>
      </c>
    </row>
    <row r="14" customFormat="false" ht="15" hidden="false" customHeight="false" outlineLevel="0" collapsed="false">
      <c r="A14" s="14" t="s">
        <v>562</v>
      </c>
      <c r="B14" s="14" t="s">
        <v>544</v>
      </c>
      <c r="C14" s="14" t="s">
        <v>563</v>
      </c>
    </row>
    <row r="15" customFormat="false" ht="15" hidden="false" customHeight="false" outlineLevel="0" collapsed="false">
      <c r="A15" s="14" t="s">
        <v>564</v>
      </c>
      <c r="B15" s="14" t="s">
        <v>544</v>
      </c>
      <c r="C15" s="14" t="s">
        <v>565</v>
      </c>
    </row>
    <row r="16" customFormat="false" ht="15" hidden="false" customHeight="false" outlineLevel="0" collapsed="false">
      <c r="A16" s="14" t="s">
        <v>566</v>
      </c>
      <c r="B16" s="14" t="s">
        <v>544</v>
      </c>
      <c r="C16" s="14" t="s">
        <v>567</v>
      </c>
    </row>
    <row r="17" customFormat="false" ht="15" hidden="false" customHeight="false" outlineLevel="0" collapsed="false">
      <c r="A17" s="14" t="s">
        <v>568</v>
      </c>
      <c r="B17" s="14" t="s">
        <v>544</v>
      </c>
      <c r="C17" s="14" t="s">
        <v>569</v>
      </c>
    </row>
    <row r="18" customFormat="false" ht="15" hidden="false" customHeight="false" outlineLevel="0" collapsed="false">
      <c r="A18" s="14" t="s">
        <v>570</v>
      </c>
      <c r="B18" s="14" t="s">
        <v>571</v>
      </c>
      <c r="C18" s="14" t="s">
        <v>572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2026-08-26T17:58:35Z</dcterms:created>
  <dc:creator>openpyxl</dc:creator>
  <dc:description/>
  <dc:language>en-US</dc:language>
  <cp:lastModifiedBy/>
  <dcterms:modified xsi:type="dcterms:W3CDTF">2026-08-26T17:58:35Z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